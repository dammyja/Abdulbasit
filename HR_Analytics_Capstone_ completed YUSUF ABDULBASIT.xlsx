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9EC0F126-EF9C-4BC3-B5D9-0D203EEB4CE7}" xr6:coauthVersionLast="47" xr6:coauthVersionMax="47" xr10:uidLastSave="{00000000-0000-0000-0000-000000000000}"/>
  <bookViews>
    <workbookView xWindow="-120" yWindow="-120" windowWidth="29040" windowHeight="15720" activeTab="2" xr2:uid="{00000000-000D-0000-FFFF-FFFF00000000}"/>
  </bookViews>
  <sheets>
    <sheet name="Lookup Department" sheetId="2" r:id="rId1"/>
    <sheet name="Lookup_Performance" sheetId="3" r:id="rId2"/>
    <sheet name="PIVOTS TABLE" sheetId="5" r:id="rId3"/>
    <sheet name="HR DASHBAORD" sheetId="6" r:id="rId4"/>
    <sheet name="Raw_Employee Data" sheetId="1" r:id="rId5"/>
  </sheets>
  <definedNames>
    <definedName name="Slicer_Department_Name">#N/A</definedName>
    <definedName name="Slicer_EmploymentStatus">#N/A</definedName>
    <definedName name="Slicer_Performance_Band">#N/A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5" l="1"/>
  <c r="K24" i="5"/>
  <c r="K38" i="5"/>
  <c r="L4" i="1" a="1"/>
  <c r="L4" i="1"/>
  <c r="L2" i="1" a="1"/>
  <c r="L2" i="1" s="1"/>
  <c r="L3" i="1" a="1"/>
  <c r="L3" i="1" s="1"/>
  <c r="L5" i="1" a="1"/>
  <c r="L5" i="1"/>
  <c r="L6" i="1" a="1"/>
  <c r="L6" i="1" s="1"/>
  <c r="L7" i="1" a="1"/>
  <c r="L7" i="1" s="1"/>
  <c r="L8" i="1" a="1"/>
  <c r="L8" i="1"/>
  <c r="L9" i="1" a="1"/>
  <c r="L9" i="1" s="1"/>
  <c r="L10" i="1" a="1"/>
  <c r="L10" i="1" s="1"/>
  <c r="L11" i="1" a="1"/>
  <c r="L11" i="1" s="1"/>
  <c r="L12" i="1" a="1"/>
  <c r="L12" i="1" s="1"/>
  <c r="L13" i="1" a="1"/>
  <c r="L13" i="1" s="1"/>
  <c r="L14" i="1" a="1"/>
  <c r="L14" i="1" s="1"/>
  <c r="L15" i="1" a="1"/>
  <c r="L15" i="1"/>
  <c r="L16" i="1" a="1"/>
  <c r="L16" i="1" s="1"/>
  <c r="L17" i="1" a="1"/>
  <c r="L17" i="1" s="1"/>
  <c r="L18" i="1" a="1"/>
  <c r="L18" i="1" s="1"/>
  <c r="L19" i="1" a="1"/>
  <c r="L19" i="1" s="1"/>
  <c r="L20" i="1" a="1"/>
  <c r="L20" i="1"/>
  <c r="L21" i="1" a="1"/>
  <c r="L21" i="1" s="1"/>
  <c r="L22" i="1" a="1"/>
  <c r="L22" i="1" s="1"/>
  <c r="L23" i="1" a="1"/>
  <c r="L23" i="1" s="1"/>
  <c r="L24" i="1" a="1"/>
  <c r="L24" i="1" s="1"/>
  <c r="L25" i="1" a="1"/>
  <c r="L25" i="1"/>
  <c r="L26" i="1" a="1"/>
  <c r="L26" i="1" s="1"/>
  <c r="L27" i="1" a="1"/>
  <c r="L27" i="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c r="L40" i="1" a="1"/>
  <c r="L40" i="1" s="1"/>
  <c r="L41" i="1" a="1"/>
  <c r="L41" i="1" s="1"/>
  <c r="L42" i="1" a="1"/>
  <c r="L42" i="1" s="1"/>
  <c r="L43" i="1" a="1"/>
  <c r="L43" i="1"/>
  <c r="L44" i="1" a="1"/>
  <c r="L44" i="1" s="1"/>
  <c r="L45" i="1" a="1"/>
  <c r="L45" i="1"/>
  <c r="L46" i="1" a="1"/>
  <c r="L46" i="1" s="1"/>
  <c r="L47" i="1" a="1"/>
  <c r="L47" i="1"/>
  <c r="L48" i="1" a="1"/>
  <c r="L48" i="1" s="1"/>
  <c r="L49" i="1" a="1"/>
  <c r="L49" i="1" s="1"/>
  <c r="L50" i="1" a="1"/>
  <c r="L50" i="1" s="1"/>
  <c r="L51" i="1" a="1"/>
  <c r="L51" i="1" s="1"/>
  <c r="L52" i="1" a="1"/>
  <c r="L52" i="1" s="1"/>
  <c r="L53" i="1" a="1"/>
  <c r="L53" i="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E151"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2" i="1"/>
  <c r="K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2" i="1"/>
  <c r="C7" i="2"/>
  <c r="C5" i="2"/>
  <c r="C3" i="2"/>
  <c r="C2" i="2"/>
  <c r="C4" i="2"/>
  <c r="C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<sst xmlns="http://schemas.openxmlformats.org/spreadsheetml/2006/main" count="721" uniqueCount="321">
  <si>
    <t>Emp ID</t>
  </si>
  <si>
    <t>Dept Code</t>
  </si>
  <si>
    <t>Hire Date</t>
  </si>
  <si>
    <t>Salary</t>
  </si>
  <si>
    <t>Perf_Score</t>
  </si>
  <si>
    <t>Employment Status</t>
  </si>
  <si>
    <t>EMP127</t>
  </si>
  <si>
    <t>IT02</t>
  </si>
  <si>
    <t>EMP046</t>
  </si>
  <si>
    <t>MKT04</t>
  </si>
  <si>
    <t>EMP134</t>
  </si>
  <si>
    <t xml:space="preserve"> IT02 </t>
  </si>
  <si>
    <t>EMP139</t>
  </si>
  <si>
    <t>FIN03</t>
  </si>
  <si>
    <t>EMP112</t>
  </si>
  <si>
    <t>Left</t>
  </si>
  <si>
    <t>EMP030</t>
  </si>
  <si>
    <t>OPS06</t>
  </si>
  <si>
    <t>EMP096</t>
  </si>
  <si>
    <t xml:space="preserve"> OPS06 </t>
  </si>
  <si>
    <t>EMP098</t>
  </si>
  <si>
    <t>EMP095</t>
  </si>
  <si>
    <t>EMP140</t>
  </si>
  <si>
    <t>SAL05</t>
  </si>
  <si>
    <t>Active</t>
  </si>
  <si>
    <t>EMP020</t>
  </si>
  <si>
    <t>EMP057</t>
  </si>
  <si>
    <t>EMP016</t>
  </si>
  <si>
    <t>EMP070</t>
  </si>
  <si>
    <t>EMP025</t>
  </si>
  <si>
    <t xml:space="preserve"> MKT04 </t>
  </si>
  <si>
    <t>EMP031</t>
  </si>
  <si>
    <t>EMP126</t>
  </si>
  <si>
    <t>EMP109</t>
  </si>
  <si>
    <t>EMP066</t>
  </si>
  <si>
    <t>EMP120</t>
  </si>
  <si>
    <t>EMP019</t>
  </si>
  <si>
    <t>EMP013</t>
  </si>
  <si>
    <t>EMP010</t>
  </si>
  <si>
    <t>EMP032</t>
  </si>
  <si>
    <t xml:space="preserve"> FIN03 </t>
  </si>
  <si>
    <t>EMP082</t>
  </si>
  <si>
    <t>EMP052</t>
  </si>
  <si>
    <t xml:space="preserve"> SAL05 </t>
  </si>
  <si>
    <t>EMP129</t>
  </si>
  <si>
    <t>EMP146</t>
  </si>
  <si>
    <t>EMP099</t>
  </si>
  <si>
    <t>EMP015</t>
  </si>
  <si>
    <t>EMP076</t>
  </si>
  <si>
    <t>EMP137</t>
  </si>
  <si>
    <t>EMP056</t>
  </si>
  <si>
    <t>EMP125</t>
  </si>
  <si>
    <t>HR01</t>
  </si>
  <si>
    <t>EMP085</t>
  </si>
  <si>
    <t>EMP106</t>
  </si>
  <si>
    <t>EMP043</t>
  </si>
  <si>
    <t>EMP068</t>
  </si>
  <si>
    <t>EMP128</t>
  </si>
  <si>
    <t>EMP027</t>
  </si>
  <si>
    <t>EMP136</t>
  </si>
  <si>
    <t>EMP079</t>
  </si>
  <si>
    <t>EMP149</t>
  </si>
  <si>
    <t>Resigned</t>
  </si>
  <si>
    <t>EMP037</t>
  </si>
  <si>
    <t>EMP077</t>
  </si>
  <si>
    <t>EMP023</t>
  </si>
  <si>
    <t>EMP133</t>
  </si>
  <si>
    <t>EMP141</t>
  </si>
  <si>
    <t>EMP012</t>
  </si>
  <si>
    <t>EMP080</t>
  </si>
  <si>
    <t>EMP069</t>
  </si>
  <si>
    <t>EMP150</t>
  </si>
  <si>
    <t>EMP028</t>
  </si>
  <si>
    <t>EMP087</t>
  </si>
  <si>
    <t>EMP119</t>
  </si>
  <si>
    <t>EMP042</t>
  </si>
  <si>
    <t>EMP005</t>
  </si>
  <si>
    <t>EMP033</t>
  </si>
  <si>
    <t>EMP061</t>
  </si>
  <si>
    <t>EMP102</t>
  </si>
  <si>
    <t>EMP067</t>
  </si>
  <si>
    <t>EMP017</t>
  </si>
  <si>
    <t>EMP123</t>
  </si>
  <si>
    <t>EMP011</t>
  </si>
  <si>
    <t>EMP091</t>
  </si>
  <si>
    <t>EMP145</t>
  </si>
  <si>
    <t>EMP001</t>
  </si>
  <si>
    <t>EMP113</t>
  </si>
  <si>
    <t>EMP065</t>
  </si>
  <si>
    <t xml:space="preserve"> HR01 </t>
  </si>
  <si>
    <t>EMP045</t>
  </si>
  <si>
    <t>EMP083</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</si>
  <si>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</si>
  <si>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</si>
  <si>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</si>
  <si>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</si>
  <si>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</si>
  <si>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</si>
  <si>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</si>
  <si>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</si>
  <si>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</si>
  <si>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</si>
  <si>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</si>
  <si>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</si>
  <si>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</si>
  <si>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</si>
  <si>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</si>
  <si>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</si>
  <si>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</si>
  <si>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</si>
  <si>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</si>
  <si>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</si>
  <si>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</si>
  <si>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</si>
  <si>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</si>
  <si>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</si>
  <si>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$115,288</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</si>
  <si>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</si>
  <si>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</si>
  <si>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</si>
  <si>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</si>
  <si>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</si>
  <si>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</si>
  <si>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</si>
  <si>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</si>
  <si>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</si>
  <si>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</si>
  <si>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</si>
  <si>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</si>
  <si>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</si>
  <si>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</si>
  <si>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</si>
  <si>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</si>
  <si>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</si>
  <si>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</si>
  <si>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</si>
  <si>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</si>
  <si>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</si>
  <si>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</si>
  <si>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</si>
  <si>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</si>
  <si>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</si>
  <si>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</si>
  <si>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</si>
  <si>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</si>
  <si>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</si>
  <si>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</si>
  <si>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</si>
  <si>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</si>
  <si>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</si>
  <si>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</si>
  <si>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</si>
  <si>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</si>
  <si>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</si>
  <si>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</si>
  <si>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</si>
  <si>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</si>
  <si>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</si>
  <si>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</si>
  <si>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</si>
  <si>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</si>
  <si>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</si>
  <si>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</si>
  <si>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</si>
  <si>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</si>
  <si>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</si>
  <si>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</si>
  <si>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</si>
  <si>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</si>
  <si>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</si>
  <si>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</si>
  <si>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</si>
  <si>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</si>
  <si>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</si>
  <si>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</si>
  <si>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</si>
  <si>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</si>
  <si>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</si>
  <si>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</si>
  <si>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</si>
  <si>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</si>
  <si>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</si>
  <si>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</si>
  <si>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</si>
  <si>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</si>
  <si>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</si>
  <si>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</si>
  <si>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</si>
  <si>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</si>
  <si>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Full Name</t>
  </si>
  <si>
    <t>Emily Brown</t>
  </si>
  <si>
    <t>Richard Hernandez</t>
  </si>
  <si>
    <t>Emily Gonzalez</t>
  </si>
  <si>
    <t>John Martinez</t>
  </si>
  <si>
    <t>Thomas Smith</t>
  </si>
  <si>
    <t>Emily Johnson</t>
  </si>
  <si>
    <t>John Wilson</t>
  </si>
  <si>
    <t>Jessica Smith</t>
  </si>
  <si>
    <t xml:space="preserve"> Rodriguez</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</si>
  <si>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</si>
  <si>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</si>
  <si>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</si>
  <si>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</si>
  <si>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</si>
  <si>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</si>
  <si>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</si>
  <si>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</si>
  <si>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</si>
  <si>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</si>
  <si>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</si>
  <si>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</si>
  <si>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</si>
  <si>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</si>
  <si>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</si>
  <si>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 xml:space="preserve"> Williams</t>
  </si>
  <si>
    <t>Michael Wilson</t>
  </si>
  <si>
    <t>John Rodriguez</t>
  </si>
  <si>
    <t>Thomas Hernandez</t>
  </si>
  <si>
    <t>Michael Johnson</t>
  </si>
  <si>
    <t>Sarah Brown</t>
  </si>
  <si>
    <t>Jane Martinez</t>
  </si>
  <si>
    <t>Emily Jones</t>
  </si>
  <si>
    <t xml:space="preserve"> Brown</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</si>
  <si>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</si>
  <si>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</si>
  <si>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</si>
  <si>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</si>
  <si>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</si>
  <si>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</si>
  <si>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</si>
  <si>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</si>
  <si>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</si>
  <si>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</si>
  <si>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</si>
  <si>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</si>
  <si>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</si>
  <si>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</si>
  <si>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</si>
  <si>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</si>
  <si>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</si>
  <si>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</si>
  <si>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</si>
  <si>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</si>
  <si>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</si>
  <si>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</si>
  <si>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</si>
  <si>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</si>
  <si>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</si>
  <si>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</si>
  <si>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</si>
  <si>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</si>
  <si>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</si>
  <si>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</si>
  <si>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</si>
  <si>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</si>
  <si>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</si>
  <si>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</si>
  <si>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</si>
  <si>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</si>
  <si>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</si>
  <si>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</si>
  <si>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</si>
  <si>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</si>
  <si>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</si>
  <si>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</si>
  <si>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</si>
  <si>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 xml:space="preserve"> Smith</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</si>
  <si>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</si>
  <si>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</si>
  <si>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</si>
  <si>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</si>
  <si>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</si>
  <si>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</si>
  <si>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</si>
  <si>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</si>
  <si>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</si>
  <si>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</si>
  <si>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</si>
  <si>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</si>
  <si>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</si>
  <si>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</si>
  <si>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</si>
  <si>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</si>
  <si>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</si>
  <si>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</si>
  <si>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</si>
  <si>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</si>
  <si>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</si>
  <si>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</si>
  <si>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</si>
  <si>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</si>
  <si>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</si>
  <si>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</si>
  <si>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</si>
  <si>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</si>
  <si>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 xml:space="preserve"> Jones</t>
  </si>
  <si>
    <t>William Rodriguez</t>
  </si>
  <si>
    <t>Melissa Miller</t>
  </si>
  <si>
    <t>Emily Martinez</t>
  </si>
  <si>
    <t>Performance Bond</t>
  </si>
  <si>
    <t>Years of Service</t>
  </si>
  <si>
    <t>Eligible Bonus Amount</t>
  </si>
  <si>
    <t>Grand Total</t>
  </si>
  <si>
    <t>Count of Salary</t>
  </si>
  <si>
    <t>Sum of Eligible Bonus Amount</t>
  </si>
  <si>
    <t>Performance Band</t>
  </si>
  <si>
    <t>Department</t>
  </si>
  <si>
    <t>Column Labels</t>
  </si>
  <si>
    <t>Count of Emp ID</t>
  </si>
  <si>
    <t>Average of Perf_Score</t>
  </si>
  <si>
    <t>Head Count and Salary</t>
  </si>
  <si>
    <t>Bonus Payout</t>
  </si>
  <si>
    <t>Peformance By Status</t>
  </si>
  <si>
    <t>Attrition Rate</t>
  </si>
  <si>
    <t>Count of EmploymentStatus</t>
  </si>
  <si>
    <t>Row Labels</t>
  </si>
  <si>
    <t>Average of Salary</t>
  </si>
  <si>
    <t>Count of EMP ID</t>
  </si>
  <si>
    <t>No</t>
  </si>
  <si>
    <t>Yes</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</si>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</sst>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3" x14ac:knownFonts="1">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horizontal="left"/>
    </xf>
    <xf numFmtId="0" fontId="0" fillId="2" borderId="0" xfId="0" applyFill="1"/>
    <xf numFmtId="0" fontId="0" fillId="2" borderId="0" xfId="0" applyFill="1" applyAlignment="1">
      <alignment horizontal="left"/>
    </xf>
    <xf numFmtId="0" fontId="0" fillId="3" borderId="0" xfId="0" applyFill="1" applyAlignment="1">
      <alignment horizontal="left"/>
    </xf>
    <xf numFmtId="0" fontId="0" fillId="3" borderId="0" xfId="0" applyFill="1"/>
    <xf numFmtId="164" fontId="0" fillId="2" borderId="0" xfId="0" applyNumberFormat="1" applyFill="1"/>
    <xf numFmtId="164" fontId="0" fillId="0" borderId="0" xfId="0" applyNumberFormat="1"/>
    <xf numFmtId="0" fontId="0" fillId="0" borderId="1" xfId="0" applyBorder="1"/>
    <xf numFmtId="0" fontId="0" fillId="0" borderId="1" xfId="0"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0" fillId="0" borderId="2" xfId="0" applyBorder="1"/>
    <xf numFmtId="164" fontId="0" fillId="0" borderId="3" xfId="0" applyNumberFormat="1" applyBorder="1" applyAlignment="1">
      <alignment horizontal="center"/>
    </xf>
    <xf numFmtId="0" fontId="1" fillId="0" borderId="4" xfId="0" applyFont="1" applyBorder="1" applyAlignment="1">
      <alignment horizontal="center" vertical="top"/>
    </xf>
    <xf numFmtId="0" fontId="1" fillId="0" borderId="5" xfId="0" applyFont="1" applyBorder="1" applyAlignment="1">
      <alignment horizontal="center" vertical="top"/>
    </xf>
    <xf numFmtId="14" fontId="1" fillId="0" borderId="5" xfId="0" applyNumberFormat="1" applyFont="1" applyBorder="1" applyAlignment="1">
      <alignment horizontal="center" vertical="top"/>
    </xf>
    <xf numFmtId="164" fontId="1" fillId="0" borderId="5" xfId="0" applyNumberFormat="1" applyFont="1" applyBorder="1" applyAlignment="1">
      <alignment horizontal="center" vertical="top"/>
    </xf>
    <xf numFmtId="164" fontId="1" fillId="0" borderId="6" xfId="0" applyNumberFormat="1" applyFont="1" applyBorder="1" applyAlignment="1">
      <alignment horizontal="center" vertical="top"/>
    </xf>
    <xf numFmtId="0" fontId="0" fillId="0" borderId="7" xfId="0" applyBorder="1"/>
    <xf numFmtId="0" fontId="0" fillId="0" borderId="8" xfId="0" applyBorder="1" applyAlignment="1">
      <alignment horizontal="center"/>
    </xf>
    <xf numFmtId="14" fontId="0" fillId="0" borderId="8" xfId="0" applyNumberFormat="1" applyBorder="1" applyAlignment="1">
      <alignment horizontal="center"/>
    </xf>
    <xf numFmtId="164" fontId="0" fillId="0" borderId="8" xfId="0" applyNumberFormat="1" applyBorder="1" applyAlignment="1">
      <alignment horizontal="center"/>
    </xf>
    <xf numFmtId="0" fontId="0" fillId="0" borderId="8" xfId="0" applyBorder="1"/>
    <xf numFmtId="164" fontId="0" fillId="0" borderId="9" xfId="0" applyNumberFormat="1" applyBorder="1" applyAlignment="1">
      <alignment horizontal="center"/>
    </xf>
    <xf numFmtId="1" fontId="0" fillId="0" borderId="0" xfId="0" applyNumberFormat="1"/>
    <xf numFmtId="1" fontId="0" fillId="2" borderId="0" xfId="0" applyNumberFormat="1" applyFill="1"/>
    <xf numFmtId="165" fontId="0" fillId="0" borderId="0" xfId="0" applyNumberFormat="1"/>
    <xf numFmtId="0" fontId="0" fillId="0" borderId="5" xfId="0" applyBorder="1" applyAlignment="1">
      <alignment horizontal="center"/>
    </xf>
    <xf numFmtId="9" fontId="0" fillId="0" borderId="0" xfId="0" applyNumberFormat="1"/>
    <xf numFmtId="9" fontId="0" fillId="2" borderId="0" xfId="0" applyNumberFormat="1" applyFill="1"/>
    <xf numFmtId="9" fontId="2" fillId="0" borderId="0" xfId="0" applyNumberFormat="1" applyFont="1"/>
    <xf numFmtId="1" fontId="2" fillId="0" borderId="0" xfId="0" applyNumberFormat="1" applyFont="1"/>
    <xf numFmtId="2" fontId="2" fillId="0" borderId="0" xfId="0" applyNumberFormat="1" applyFont="1"/>
    <xf numFmtId="0" fontId="0" fillId="2" borderId="0" xfId="0" applyFill="1"/>
    <xf numFmtId="0" fontId="0" fillId="2" borderId="0" xfId="0" applyFill="1" applyAlignment="1">
      <alignment horizontal="center"/>
    </xf>
    <xf numFmtId="0" fontId="0" fillId="2" borderId="0" xfId="0" pivotButton="1" applyFill="1"/>
  </cellXfs>
  <cellStyles count="1">
    <cellStyle name="Normal" xfId="0" builtinId="0"/>
  </cellStyles>
  <dxfs count="63">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theme="0"/>
        </patternFill>
      </fill>
    </dxf>
    <dxf>
      <fill>
        <patternFill patternType="solid">
          <bgColor rgb="FF00B050"/>
        </patternFill>
      </fill>
    </dxf>
    <dxf>
      <fill>
        <patternFill patternType="solid">
          <bgColor rgb="FF00B050"/>
        </patternFill>
      </fill>
    </dxf>
    <dxf>
      <fill>
        <patternFill patternType="solid">
          <bgColor rgb="FF00B050"/>
        </patternFill>
      </fill>
    </dxf>
    <dxf>
      <numFmt numFmtId="164" formatCode="&quot;$&quot;#,##0.00"/>
    </dxf>
    <dxf>
      <numFmt numFmtId="164" formatCode="&quot;$&quot;#,##0.00"/>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numFmt numFmtId="13" formatCode="0%"/>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numFmt numFmtId="1" formatCode="0"/>
    </dxf>
    <dxf>
      <numFmt numFmtId="2" formatCode="0.00"/>
    </dxf>
    <dxf>
      <fill>
        <patternFill patternType="solid">
          <bgColor rgb="FF00B050"/>
        </patternFill>
      </fill>
    </dxf>
    <dxf>
      <fill>
        <patternFill>
          <bgColor rgb="FF00B050"/>
        </patternFill>
      </fill>
    </dxf>
    <dxf>
      <fill>
        <patternFill>
          <bgColor rgb="FF00B050"/>
        </patternFill>
      </fill>
    </dxf>
    <dxf>
      <fill>
        <patternFill patternType="solid">
          <bgColor rgb="FFFFFF00"/>
        </patternFill>
      </fill>
    </dxf>
    <dxf>
      <fill>
        <patternFill patternType="solid">
          <bgColor rgb="FFFFFF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numFmt numFmtId="165" formatCode="&quot;$&quot;#,##0"/>
    </dxf>
    <dxf>
      <fill>
        <patternFill patternType="solid">
          <bgColor rgb="FF00B050"/>
        </patternFill>
      </fill>
    </dxf>
    <dxf>
      <fill>
        <patternFill patternType="solid">
          <bgColor rgb="FF00B050"/>
        </patternFill>
      </fill>
    </dxf>
    <dxf>
      <fill>
        <patternFill patternType="solid">
          <bgColor rgb="FF00B050"/>
        </patternFill>
      </fill>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quot;$&quot;#,##0.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quot;$&quot;#,##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m/d/yy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m/d/yy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2B42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 completed YUSUF ABDULBASIT.xlsx]PIVOTS TABLE!PivotTable11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44904124036736E-2"/>
          <c:y val="3.7037037037037035E-2"/>
          <c:w val="0.88498840769903764"/>
          <c:h val="0.79081802274715662"/>
        </c:manualLayout>
      </c:layout>
      <c:barChart>
        <c:barDir val="col"/>
        <c:grouping val="clustered"/>
        <c:varyColors val="0"/>
        <c:ser>
          <c:idx val="0"/>
          <c:order val="0"/>
          <c:tx>
            <c:strRef>
              <c:f>'PIVOTS TABLE'!$H$16:$H$17</c:f>
              <c:strCache>
                <c:ptCount val="1"/>
                <c:pt idx="0">
                  <c:v>No</c:v>
                </c:pt>
              </c:strCache>
            </c:strRef>
          </c:tx>
          <c:spPr>
            <a:solidFill>
              <a:schemeClr val="accent1"/>
            </a:solidFill>
            <a:ln>
              <a:noFill/>
            </a:ln>
            <a:effectLst/>
          </c:spPr>
          <c:invertIfNegative val="0"/>
          <c:cat>
            <c:strRef>
              <c:f>'PIVOTS TABLE'!$G$18:$G$24</c:f>
              <c:strCache>
                <c:ptCount val="6"/>
                <c:pt idx="0">
                  <c:v>Finance</c:v>
                </c:pt>
                <c:pt idx="1">
                  <c:v>Human Resources</c:v>
                </c:pt>
                <c:pt idx="2">
                  <c:v>Information Technology</c:v>
                </c:pt>
                <c:pt idx="3">
                  <c:v>Marketing</c:v>
                </c:pt>
                <c:pt idx="4">
                  <c:v>Operations</c:v>
                </c:pt>
                <c:pt idx="5">
                  <c:v>Sales</c:v>
                </c:pt>
              </c:strCache>
            </c:strRef>
          </c:cat>
          <c:val>
            <c:numRef>
              <c:f>'PIVOTS TABLE'!$H$18:$H$24</c:f>
              <c:numCache>
                <c:formatCode>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D8DD-4717-A114-E2FAA89C1B3E}"/>
            </c:ext>
          </c:extLst>
        </c:ser>
        <c:ser>
          <c:idx val="1"/>
          <c:order val="1"/>
          <c:tx>
            <c:strRef>
              <c:f>'PIVOTS TABLE'!$I$16:$I$17</c:f>
              <c:strCache>
                <c:ptCount val="1"/>
                <c:pt idx="0">
                  <c:v>Yes</c:v>
                </c:pt>
              </c:strCache>
            </c:strRef>
          </c:tx>
          <c:spPr>
            <a:solidFill>
              <a:schemeClr val="accent2"/>
            </a:solidFill>
            <a:ln>
              <a:noFill/>
            </a:ln>
            <a:effectLst/>
          </c:spPr>
          <c:invertIfNegative val="0"/>
          <c:cat>
            <c:strRef>
              <c:f>'PIVOTS TABLE'!$G$18:$G$24</c:f>
              <c:strCache>
                <c:ptCount val="6"/>
                <c:pt idx="0">
                  <c:v>Finance</c:v>
                </c:pt>
                <c:pt idx="1">
                  <c:v>Human Resources</c:v>
                </c:pt>
                <c:pt idx="2">
                  <c:v>Information Technology</c:v>
                </c:pt>
                <c:pt idx="3">
                  <c:v>Marketing</c:v>
                </c:pt>
                <c:pt idx="4">
                  <c:v>Operations</c:v>
                </c:pt>
                <c:pt idx="5">
                  <c:v>Sales</c:v>
                </c:pt>
              </c:strCache>
            </c:strRef>
          </c:cat>
          <c:val>
            <c:numRef>
              <c:f>'PIVOTS TABLE'!$I$18:$I$24</c:f>
              <c:numCache>
                <c:formatCode>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1-D8DD-4717-A114-E2FAA89C1B3E}"/>
            </c:ext>
          </c:extLst>
        </c:ser>
        <c:dLbls>
          <c:showLegendKey val="0"/>
          <c:showVal val="0"/>
          <c:showCatName val="0"/>
          <c:showSerName val="0"/>
          <c:showPercent val="0"/>
          <c:showBubbleSize val="0"/>
        </c:dLbls>
        <c:gapWidth val="217"/>
        <c:overlap val="-35"/>
        <c:axId val="1438967775"/>
        <c:axId val="1438968255"/>
      </c:barChart>
      <c:catAx>
        <c:axId val="14389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68255"/>
        <c:crosses val="autoZero"/>
        <c:auto val="1"/>
        <c:lblAlgn val="ctr"/>
        <c:lblOffset val="100"/>
        <c:noMultiLvlLbl val="0"/>
      </c:catAx>
      <c:valAx>
        <c:axId val="1438968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 completed YUSUF ABDULBASIT.xlsx]PIVOTS 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'PIVOTS TABLE'!$H$5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A8-4263-AB30-63F43FB158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A8-4263-AB30-63F43FB158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A8-4263-AB30-63F43FB158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A8-4263-AB30-63F43FB158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A8-4263-AB30-63F43FB15854}"/>
              </c:ext>
            </c:extLst>
          </c:dPt>
          <c:cat>
            <c:strRef>
              <c:f>'PIVOTS TABLE'!$G$6:$G$11</c:f>
              <c:strCache>
                <c:ptCount val="5"/>
                <c:pt idx="0">
                  <c:v>Achieving</c:v>
                </c:pt>
                <c:pt idx="1">
                  <c:v>Developing</c:v>
                </c:pt>
                <c:pt idx="2">
                  <c:v>Exceeding</c:v>
                </c:pt>
                <c:pt idx="3">
                  <c:v>Needs Improvement</c:v>
                </c:pt>
                <c:pt idx="4">
                  <c:v>Outstanding</c:v>
                </c:pt>
              </c:strCache>
            </c:strRef>
          </c:cat>
          <c:val>
            <c:numRef>
              <c:f>'PIVOTS TABLE'!$H$6:$H$11</c:f>
              <c:numCache>
                <c:formatCode>"$"#,##0.00</c:formatCode>
                <c:ptCount val="5"/>
                <c:pt idx="0">
                  <c:v>164994.30750000002</c:v>
                </c:pt>
                <c:pt idx="1">
                  <c:v>84450.788800000009</c:v>
                </c:pt>
                <c:pt idx="2">
                  <c:v>144546.94880000001</c:v>
                </c:pt>
                <c:pt idx="3">
                  <c:v>0</c:v>
                </c:pt>
                <c:pt idx="4">
                  <c:v>92304.651600000012</c:v>
                </c:pt>
              </c:numCache>
            </c:numRef>
          </c:val>
          <c:extLst>
            <c:ext xmlns:c16="http://schemas.microsoft.com/office/drawing/2014/chart" uri="{C3380CC4-5D6E-409C-BE32-E72D297353CC}">
              <c16:uniqueId val="{0000000A-88A8-4263-AB30-63F43FB158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673572470107915"/>
          <c:y val="0.35770511875516436"/>
          <c:w val="0.26956057159521729"/>
          <c:h val="0.39831125573034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 completed YUSUF ABDULBASIT.xlsx]PIVOTS TABLE!PivotTable4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TABLE'!$B$5</c:f>
              <c:strCache>
                <c:ptCount val="1"/>
                <c:pt idx="0">
                  <c:v>Total</c:v>
                </c:pt>
              </c:strCache>
            </c:strRef>
          </c:tx>
          <c:spPr>
            <a:solidFill>
              <a:schemeClr val="accent3">
                <a:lumMod val="75000"/>
              </a:schemeClr>
            </a:solidFill>
            <a:ln>
              <a:noFill/>
            </a:ln>
            <a:effectLst/>
          </c:spPr>
          <c:invertIfNegative val="0"/>
          <c:cat>
            <c:strRef>
              <c:f>'PIVOTS TABLE'!$A$6:$A$12</c:f>
              <c:strCache>
                <c:ptCount val="6"/>
                <c:pt idx="0">
                  <c:v>Finance</c:v>
                </c:pt>
                <c:pt idx="1">
                  <c:v>Human Resources</c:v>
                </c:pt>
                <c:pt idx="2">
                  <c:v>Information Technology</c:v>
                </c:pt>
                <c:pt idx="3">
                  <c:v>Marketing</c:v>
                </c:pt>
                <c:pt idx="4">
                  <c:v>Operations</c:v>
                </c:pt>
                <c:pt idx="5">
                  <c:v>Sales</c:v>
                </c:pt>
              </c:strCache>
            </c:strRef>
          </c:cat>
          <c:val>
            <c:numRef>
              <c:f>'PIVOTS TABLE'!$B$6:$B$12</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6328-4D53-8C8C-B3BBCD0B07ED}"/>
            </c:ext>
          </c:extLst>
        </c:ser>
        <c:dLbls>
          <c:showLegendKey val="0"/>
          <c:showVal val="0"/>
          <c:showCatName val="0"/>
          <c:showSerName val="0"/>
          <c:showPercent val="0"/>
          <c:showBubbleSize val="0"/>
        </c:dLbls>
        <c:gapWidth val="150"/>
        <c:overlap val="100"/>
        <c:axId val="1438978815"/>
        <c:axId val="1438973055"/>
      </c:barChart>
      <c:catAx>
        <c:axId val="143897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73055"/>
        <c:crosses val="autoZero"/>
        <c:auto val="1"/>
        <c:lblAlgn val="ctr"/>
        <c:lblOffset val="100"/>
        <c:noMultiLvlLbl val="0"/>
      </c:catAx>
      <c:valAx>
        <c:axId val="143897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7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 completed YUSUF ABDULBASIT.xlsx]PIVOTS TABLE!PivotTable1</c:name>
    <c:fmtId val="13"/>
  </c:pivotSource>
  <c:chart>
    <c:title>
      <c:layout>
        <c:manualLayout>
          <c:xMode val="edge"/>
          <c:yMode val="edge"/>
          <c:x val="0.41989190553021399"/>
          <c:y val="9.2261325915381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TABLE'!$B$34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TABLE'!$A$35:$A$41</c:f>
              <c:strCache>
                <c:ptCount val="6"/>
                <c:pt idx="0">
                  <c:v>Finance</c:v>
                </c:pt>
                <c:pt idx="1">
                  <c:v>Human Resources</c:v>
                </c:pt>
                <c:pt idx="2">
                  <c:v>Information Technology</c:v>
                </c:pt>
                <c:pt idx="3">
                  <c:v>Marketing</c:v>
                </c:pt>
                <c:pt idx="4">
                  <c:v>Operations</c:v>
                </c:pt>
                <c:pt idx="5">
                  <c:v>Sales</c:v>
                </c:pt>
              </c:strCache>
            </c:strRef>
          </c:cat>
          <c:val>
            <c:numRef>
              <c:f>'PIVOTS TABLE'!$B$35:$B$41</c:f>
              <c:numCache>
                <c:formatCode>"$"#,##0.00</c:formatCode>
                <c:ptCount val="6"/>
                <c:pt idx="0">
                  <c:v>92544.107499999998</c:v>
                </c:pt>
                <c:pt idx="1">
                  <c:v>100093</c:v>
                </c:pt>
                <c:pt idx="2">
                  <c:v>82747.923999999985</c:v>
                </c:pt>
                <c:pt idx="3">
                  <c:v>94072.5</c:v>
                </c:pt>
                <c:pt idx="4">
                  <c:v>91356.5</c:v>
                </c:pt>
                <c:pt idx="5">
                  <c:v>83329.372000000003</c:v>
                </c:pt>
              </c:numCache>
            </c:numRef>
          </c:val>
          <c:extLst>
            <c:ext xmlns:c16="http://schemas.microsoft.com/office/drawing/2014/chart" uri="{C3380CC4-5D6E-409C-BE32-E72D297353CC}">
              <c16:uniqueId val="{00000000-E9D6-4102-BE0C-299EEC128ABA}"/>
            </c:ext>
          </c:extLst>
        </c:ser>
        <c:dLbls>
          <c:dLblPos val="outEnd"/>
          <c:showLegendKey val="0"/>
          <c:showVal val="1"/>
          <c:showCatName val="0"/>
          <c:showSerName val="0"/>
          <c:showPercent val="0"/>
          <c:showBubbleSize val="0"/>
        </c:dLbls>
        <c:gapWidth val="219"/>
        <c:overlap val="-27"/>
        <c:axId val="250014944"/>
        <c:axId val="250025504"/>
      </c:barChart>
      <c:catAx>
        <c:axId val="25001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25504"/>
        <c:crosses val="autoZero"/>
        <c:auto val="1"/>
        <c:lblAlgn val="ctr"/>
        <c:lblOffset val="100"/>
        <c:noMultiLvlLbl val="0"/>
      </c:catAx>
      <c:valAx>
        <c:axId val="25002550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1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 completed YUSUF ABDULBASIT.xlsx]PIVOTS TABLE!PivotTable11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1159230096238"/>
          <c:y val="0.19589198858621876"/>
          <c:w val="0.88498840769903764"/>
          <c:h val="0.65511107065542185"/>
        </c:manualLayout>
      </c:layout>
      <c:barChart>
        <c:barDir val="col"/>
        <c:grouping val="clustered"/>
        <c:varyColors val="0"/>
        <c:ser>
          <c:idx val="0"/>
          <c:order val="0"/>
          <c:tx>
            <c:strRef>
              <c:f>'PIVOTS TABLE'!$H$16:$H$17</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TABLE'!$G$18:$G$24</c:f>
              <c:strCache>
                <c:ptCount val="6"/>
                <c:pt idx="0">
                  <c:v>Finance</c:v>
                </c:pt>
                <c:pt idx="1">
                  <c:v>Human Resources</c:v>
                </c:pt>
                <c:pt idx="2">
                  <c:v>Information Technology</c:v>
                </c:pt>
                <c:pt idx="3">
                  <c:v>Marketing</c:v>
                </c:pt>
                <c:pt idx="4">
                  <c:v>Operations</c:v>
                </c:pt>
                <c:pt idx="5">
                  <c:v>Sales</c:v>
                </c:pt>
              </c:strCache>
            </c:strRef>
          </c:cat>
          <c:val>
            <c:numRef>
              <c:f>'PIVOTS TABLE'!$H$18:$H$24</c:f>
              <c:numCache>
                <c:formatCode>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5209-414B-8C2A-93E930685BF3}"/>
            </c:ext>
          </c:extLst>
        </c:ser>
        <c:ser>
          <c:idx val="1"/>
          <c:order val="1"/>
          <c:tx>
            <c:strRef>
              <c:f>'PIVOTS TABLE'!$I$16:$I$17</c:f>
              <c:strCache>
                <c:ptCount val="1"/>
                <c:pt idx="0">
                  <c:v>Yes</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TABLE'!$G$18:$G$24</c:f>
              <c:strCache>
                <c:ptCount val="6"/>
                <c:pt idx="0">
                  <c:v>Finance</c:v>
                </c:pt>
                <c:pt idx="1">
                  <c:v>Human Resources</c:v>
                </c:pt>
                <c:pt idx="2">
                  <c:v>Information Technology</c:v>
                </c:pt>
                <c:pt idx="3">
                  <c:v>Marketing</c:v>
                </c:pt>
                <c:pt idx="4">
                  <c:v>Operations</c:v>
                </c:pt>
                <c:pt idx="5">
                  <c:v>Sales</c:v>
                </c:pt>
              </c:strCache>
            </c:strRef>
          </c:cat>
          <c:val>
            <c:numRef>
              <c:f>'PIVOTS TABLE'!$I$18:$I$24</c:f>
              <c:numCache>
                <c:formatCode>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1-5209-414B-8C2A-93E930685BF3}"/>
            </c:ext>
          </c:extLst>
        </c:ser>
        <c:dLbls>
          <c:dLblPos val="outEnd"/>
          <c:showLegendKey val="0"/>
          <c:showVal val="1"/>
          <c:showCatName val="0"/>
          <c:showSerName val="0"/>
          <c:showPercent val="0"/>
          <c:showBubbleSize val="0"/>
        </c:dLbls>
        <c:gapWidth val="217"/>
        <c:axId val="1438967775"/>
        <c:axId val="1438968255"/>
      </c:barChart>
      <c:catAx>
        <c:axId val="14389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68255"/>
        <c:crosses val="autoZero"/>
        <c:auto val="1"/>
        <c:lblAlgn val="ctr"/>
        <c:lblOffset val="100"/>
        <c:noMultiLvlLbl val="0"/>
      </c:catAx>
      <c:valAx>
        <c:axId val="1438968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95249</xdr:colOff>
      <xdr:row>14</xdr:row>
      <xdr:rowOff>76992</xdr:rowOff>
    </xdr:from>
    <xdr:to>
      <xdr:col>18</xdr:col>
      <xdr:colOff>870479</xdr:colOff>
      <xdr:row>29</xdr:row>
      <xdr:rowOff>42067</xdr:rowOff>
    </xdr:to>
    <xdr:graphicFrame macro="">
      <xdr:nvGraphicFramePr>
        <xdr:cNvPr id="14" name="Chart 13">
          <a:extLst>
            <a:ext uri="{FF2B5EF4-FFF2-40B4-BE49-F238E27FC236}">
              <a16:creationId xmlns:a16="http://schemas.microsoft.com/office/drawing/2014/main" id="{BE5EB6D1-DADF-3916-6859-2B21188C6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66147</xdr:colOff>
      <xdr:row>1</xdr:row>
      <xdr:rowOff>92604</xdr:rowOff>
    </xdr:from>
    <xdr:to>
      <xdr:col>19</xdr:col>
      <xdr:colOff>52917</xdr:colOff>
      <xdr:row>41</xdr:row>
      <xdr:rowOff>158749</xdr:rowOff>
    </xdr:to>
    <xdr:sp macro="" textlink="">
      <xdr:nvSpPr>
        <xdr:cNvPr id="2" name="Rectangle 1">
          <a:extLst>
            <a:ext uri="{FF2B5EF4-FFF2-40B4-BE49-F238E27FC236}">
              <a16:creationId xmlns:a16="http://schemas.microsoft.com/office/drawing/2014/main" id="{4014DCF8-CBA7-6C4B-7B68-03B388BD2444}"/>
            </a:ext>
          </a:extLst>
        </xdr:cNvPr>
        <xdr:cNvSpPr/>
      </xdr:nvSpPr>
      <xdr:spPr>
        <a:xfrm>
          <a:off x="66147" y="277812"/>
          <a:ext cx="11549062" cy="7474479"/>
        </a:xfrm>
        <a:prstGeom prst="rect">
          <a:avLst/>
        </a:prstGeom>
        <a:solidFill>
          <a:srgbClr val="2B42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343958</xdr:colOff>
      <xdr:row>0</xdr:row>
      <xdr:rowOff>158221</xdr:rowOff>
    </xdr:from>
    <xdr:to>
      <xdr:col>15</xdr:col>
      <xdr:colOff>383646</xdr:colOff>
      <xdr:row>3</xdr:row>
      <xdr:rowOff>53446</xdr:rowOff>
    </xdr:to>
    <xdr:sp macro="" textlink="">
      <xdr:nvSpPr>
        <xdr:cNvPr id="3" name="Rectangle: Rounded Corners 2">
          <a:extLst>
            <a:ext uri="{FF2B5EF4-FFF2-40B4-BE49-F238E27FC236}">
              <a16:creationId xmlns:a16="http://schemas.microsoft.com/office/drawing/2014/main" id="{9E9E08C5-93B8-CF03-B209-0737C3E10435}"/>
            </a:ext>
          </a:extLst>
        </xdr:cNvPr>
        <xdr:cNvSpPr/>
      </xdr:nvSpPr>
      <xdr:spPr>
        <a:xfrm>
          <a:off x="343958" y="158221"/>
          <a:ext cx="9167813" cy="45085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529165</xdr:colOff>
      <xdr:row>4</xdr:row>
      <xdr:rowOff>13229</xdr:rowOff>
    </xdr:from>
    <xdr:to>
      <xdr:col>4</xdr:col>
      <xdr:colOff>370415</xdr:colOff>
      <xdr:row>9</xdr:row>
      <xdr:rowOff>105830</xdr:rowOff>
    </xdr:to>
    <xdr:sp macro="" textlink="">
      <xdr:nvSpPr>
        <xdr:cNvPr id="8" name="Rectangle: Rounded Corners 7">
          <a:extLst>
            <a:ext uri="{FF2B5EF4-FFF2-40B4-BE49-F238E27FC236}">
              <a16:creationId xmlns:a16="http://schemas.microsoft.com/office/drawing/2014/main" id="{0CA526A3-BC7E-B6C2-EAD3-421FCAC36472}"/>
            </a:ext>
          </a:extLst>
        </xdr:cNvPr>
        <xdr:cNvSpPr/>
      </xdr:nvSpPr>
      <xdr:spPr>
        <a:xfrm>
          <a:off x="529165" y="754062"/>
          <a:ext cx="2275417" cy="1018643"/>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r>
            <a:rPr lang="en-US" sz="1100"/>
            <a:t>TOTAL EMPLOYEE</a:t>
          </a:r>
        </a:p>
      </xdr:txBody>
    </xdr:sp>
    <xdr:clientData/>
  </xdr:twoCellAnchor>
  <xdr:twoCellAnchor>
    <xdr:from>
      <xdr:col>1</xdr:col>
      <xdr:colOff>370415</xdr:colOff>
      <xdr:row>6</xdr:row>
      <xdr:rowOff>119064</xdr:rowOff>
    </xdr:from>
    <xdr:to>
      <xdr:col>4</xdr:col>
      <xdr:colOff>39686</xdr:colOff>
      <xdr:row>8</xdr:row>
      <xdr:rowOff>92605</xdr:rowOff>
    </xdr:to>
    <xdr:sp macro="" textlink="'PIVOTS TABLE'!K38">
      <xdr:nvSpPr>
        <xdr:cNvPr id="9" name="TextBox 8">
          <a:extLst>
            <a:ext uri="{FF2B5EF4-FFF2-40B4-BE49-F238E27FC236}">
              <a16:creationId xmlns:a16="http://schemas.microsoft.com/office/drawing/2014/main" id="{95483A3A-31E8-D54B-8A43-6F133438DB9B}"/>
            </a:ext>
          </a:extLst>
        </xdr:cNvPr>
        <xdr:cNvSpPr txBox="1"/>
      </xdr:nvSpPr>
      <xdr:spPr>
        <a:xfrm>
          <a:off x="978957" y="1230314"/>
          <a:ext cx="1494896" cy="343958"/>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               </a:t>
          </a:r>
          <a:fld id="{7A007A61-6A5F-44B8-963D-0A79EE801743}" type="TxLink">
            <a:rPr lang="en-US" sz="1100" b="1" i="0" u="none" strike="noStrike">
              <a:solidFill>
                <a:srgbClr val="000000"/>
              </a:solidFill>
              <a:latin typeface="Calibri"/>
              <a:ea typeface="Calibri"/>
              <a:cs typeface="Calibri"/>
            </a:rPr>
            <a:pPr/>
            <a:t>150</a:t>
          </a:fld>
          <a:endParaRPr lang="en-US" sz="1100"/>
        </a:p>
      </xdr:txBody>
    </xdr:sp>
    <xdr:clientData/>
  </xdr:twoCellAnchor>
  <xdr:twoCellAnchor>
    <xdr:from>
      <xdr:col>6</xdr:col>
      <xdr:colOff>1</xdr:colOff>
      <xdr:row>4</xdr:row>
      <xdr:rowOff>26457</xdr:rowOff>
    </xdr:from>
    <xdr:to>
      <xdr:col>9</xdr:col>
      <xdr:colOff>403755</xdr:colOff>
      <xdr:row>9</xdr:row>
      <xdr:rowOff>139170</xdr:rowOff>
    </xdr:to>
    <xdr:sp macro="" textlink="">
      <xdr:nvSpPr>
        <xdr:cNvPr id="10" name="Rectangle: Rounded Corners 9">
          <a:extLst>
            <a:ext uri="{FF2B5EF4-FFF2-40B4-BE49-F238E27FC236}">
              <a16:creationId xmlns:a16="http://schemas.microsoft.com/office/drawing/2014/main" id="{BAD43EED-C32E-44CE-866C-D8532286BF31}"/>
            </a:ext>
          </a:extLst>
        </xdr:cNvPr>
        <xdr:cNvSpPr/>
      </xdr:nvSpPr>
      <xdr:spPr>
        <a:xfrm>
          <a:off x="3651251" y="767290"/>
          <a:ext cx="2229379" cy="1038755"/>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r>
            <a:rPr lang="en-US" sz="1100"/>
            <a:t>AVERAGE</a:t>
          </a:r>
          <a:r>
            <a:rPr lang="en-US" sz="1100" baseline="0"/>
            <a:t> SALARY</a:t>
          </a:r>
          <a:endParaRPr lang="en-US" sz="1100"/>
        </a:p>
      </xdr:txBody>
    </xdr:sp>
    <xdr:clientData/>
  </xdr:twoCellAnchor>
  <xdr:twoCellAnchor>
    <xdr:from>
      <xdr:col>10</xdr:col>
      <xdr:colOff>582083</xdr:colOff>
      <xdr:row>4</xdr:row>
      <xdr:rowOff>26459</xdr:rowOff>
    </xdr:from>
    <xdr:to>
      <xdr:col>14</xdr:col>
      <xdr:colOff>430212</xdr:colOff>
      <xdr:row>9</xdr:row>
      <xdr:rowOff>86251</xdr:rowOff>
    </xdr:to>
    <xdr:sp macro="" textlink="">
      <xdr:nvSpPr>
        <xdr:cNvPr id="11" name="Rectangle: Rounded Corners 10">
          <a:extLst>
            <a:ext uri="{FF2B5EF4-FFF2-40B4-BE49-F238E27FC236}">
              <a16:creationId xmlns:a16="http://schemas.microsoft.com/office/drawing/2014/main" id="{D61EE527-B421-43BD-BA65-20A6850E4501}"/>
            </a:ext>
          </a:extLst>
        </xdr:cNvPr>
        <xdr:cNvSpPr/>
      </xdr:nvSpPr>
      <xdr:spPr>
        <a:xfrm>
          <a:off x="6667500" y="767292"/>
          <a:ext cx="2282295" cy="985834"/>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r>
            <a:rPr lang="en-US" sz="1100"/>
            <a:t>ATTRITION</a:t>
          </a:r>
          <a:r>
            <a:rPr lang="en-US" sz="1100" baseline="0"/>
            <a:t> RATE</a:t>
          </a:r>
          <a:endParaRPr lang="en-US" sz="1100"/>
        </a:p>
      </xdr:txBody>
    </xdr:sp>
    <xdr:clientData/>
  </xdr:twoCellAnchor>
  <xdr:twoCellAnchor editAs="oneCell">
    <xdr:from>
      <xdr:col>4</xdr:col>
      <xdr:colOff>259291</xdr:colOff>
      <xdr:row>0</xdr:row>
      <xdr:rowOff>123826</xdr:rowOff>
    </xdr:from>
    <xdr:to>
      <xdr:col>10</xdr:col>
      <xdr:colOff>223282</xdr:colOff>
      <xdr:row>4</xdr:row>
      <xdr:rowOff>4839</xdr:rowOff>
    </xdr:to>
    <xdr:pic>
      <xdr:nvPicPr>
        <xdr:cNvPr id="12" name="Picture 11">
          <a:extLst>
            <a:ext uri="{FF2B5EF4-FFF2-40B4-BE49-F238E27FC236}">
              <a16:creationId xmlns:a16="http://schemas.microsoft.com/office/drawing/2014/main" id="{FFAA85A0-B2B6-8D1E-B4C2-62729997D36E}"/>
            </a:ext>
          </a:extLst>
        </xdr:cNvPr>
        <xdr:cNvPicPr>
          <a:picLocks noChangeAspect="1"/>
        </xdr:cNvPicPr>
      </xdr:nvPicPr>
      <xdr:blipFill>
        <a:blip xmlns:r="http://schemas.openxmlformats.org/officeDocument/2006/relationships" r:embed="rId1"/>
        <a:stretch>
          <a:fillRect/>
        </a:stretch>
      </xdr:blipFill>
      <xdr:spPr>
        <a:xfrm>
          <a:off x="2693458" y="123826"/>
          <a:ext cx="3615241" cy="621846"/>
        </a:xfrm>
        <a:prstGeom prst="rect">
          <a:avLst/>
        </a:prstGeom>
      </xdr:spPr>
    </xdr:pic>
    <xdr:clientData/>
  </xdr:twoCellAnchor>
  <xdr:twoCellAnchor>
    <xdr:from>
      <xdr:col>6</xdr:col>
      <xdr:colOff>456671</xdr:colOff>
      <xdr:row>6</xdr:row>
      <xdr:rowOff>125943</xdr:rowOff>
    </xdr:from>
    <xdr:to>
      <xdr:col>9</xdr:col>
      <xdr:colOff>125942</xdr:colOff>
      <xdr:row>8</xdr:row>
      <xdr:rowOff>99484</xdr:rowOff>
    </xdr:to>
    <xdr:sp macro="" textlink="'PIVOTS TABLE'!C41">
      <xdr:nvSpPr>
        <xdr:cNvPr id="13" name="TextBox 12">
          <a:extLst>
            <a:ext uri="{FF2B5EF4-FFF2-40B4-BE49-F238E27FC236}">
              <a16:creationId xmlns:a16="http://schemas.microsoft.com/office/drawing/2014/main" id="{9DE200DD-7EB7-4388-96EB-EFF4AEA62ED1}"/>
            </a:ext>
          </a:extLst>
        </xdr:cNvPr>
        <xdr:cNvSpPr txBox="1"/>
      </xdr:nvSpPr>
      <xdr:spPr>
        <a:xfrm>
          <a:off x="4107921" y="1237193"/>
          <a:ext cx="1494896" cy="343958"/>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D92476-5260-495C-88FB-792C0292B341}" type="TxLink">
            <a:rPr lang="en-US" sz="1100" b="1" i="0" u="none" strike="noStrike">
              <a:solidFill>
                <a:srgbClr val="000000"/>
              </a:solidFill>
              <a:latin typeface="Calibri"/>
              <a:ea typeface="Calibri"/>
              <a:cs typeface="Calibri"/>
            </a:rPr>
            <a:pPr algn="ctr"/>
            <a:t>87039.57</a:t>
          </a:fld>
          <a:endParaRPr lang="en-US" sz="1100"/>
        </a:p>
      </xdr:txBody>
    </xdr:sp>
    <xdr:clientData/>
  </xdr:twoCellAnchor>
  <xdr:twoCellAnchor>
    <xdr:from>
      <xdr:col>11</xdr:col>
      <xdr:colOff>456671</xdr:colOff>
      <xdr:row>6</xdr:row>
      <xdr:rowOff>125943</xdr:rowOff>
    </xdr:from>
    <xdr:to>
      <xdr:col>14</xdr:col>
      <xdr:colOff>125942</xdr:colOff>
      <xdr:row>8</xdr:row>
      <xdr:rowOff>99484</xdr:rowOff>
    </xdr:to>
    <xdr:sp macro="" textlink="'PIVOTS TABLE'!K24">
      <xdr:nvSpPr>
        <xdr:cNvPr id="14" name="TextBox 13">
          <a:extLst>
            <a:ext uri="{FF2B5EF4-FFF2-40B4-BE49-F238E27FC236}">
              <a16:creationId xmlns:a16="http://schemas.microsoft.com/office/drawing/2014/main" id="{F5488212-DEB3-412C-AF73-EFC596B69B5F}"/>
            </a:ext>
          </a:extLst>
        </xdr:cNvPr>
        <xdr:cNvSpPr txBox="1"/>
      </xdr:nvSpPr>
      <xdr:spPr>
        <a:xfrm>
          <a:off x="7150629" y="1237193"/>
          <a:ext cx="1494896" cy="343958"/>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AF27BD-2BE7-4E81-ABB6-ADEB31F449C1}" type="TxLink">
            <a:rPr lang="en-US" sz="1100" b="1" i="0" u="none" strike="noStrike">
              <a:solidFill>
                <a:srgbClr val="000000"/>
              </a:solidFill>
              <a:latin typeface="Calibri"/>
              <a:ea typeface="Calibri"/>
              <a:cs typeface="Calibri"/>
            </a:rPr>
            <a:pPr algn="ctr"/>
            <a:t>23%</a:t>
          </a:fld>
          <a:endParaRPr lang="en-US" sz="1100"/>
        </a:p>
      </xdr:txBody>
    </xdr:sp>
    <xdr:clientData/>
  </xdr:twoCellAnchor>
  <xdr:twoCellAnchor>
    <xdr:from>
      <xdr:col>0</xdr:col>
      <xdr:colOff>476249</xdr:colOff>
      <xdr:row>26</xdr:row>
      <xdr:rowOff>1</xdr:rowOff>
    </xdr:from>
    <xdr:to>
      <xdr:col>7</xdr:col>
      <xdr:colOff>502707</xdr:colOff>
      <xdr:row>40</xdr:row>
      <xdr:rowOff>97368</xdr:rowOff>
    </xdr:to>
    <xdr:graphicFrame macro="">
      <xdr:nvGraphicFramePr>
        <xdr:cNvPr id="21" name="Chart 20">
          <a:extLst>
            <a:ext uri="{FF2B5EF4-FFF2-40B4-BE49-F238E27FC236}">
              <a16:creationId xmlns:a16="http://schemas.microsoft.com/office/drawing/2014/main" id="{A0E479ED-E1BC-42AF-8236-996FD7816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66147</xdr:colOff>
      <xdr:row>25</xdr:row>
      <xdr:rowOff>171978</xdr:rowOff>
    </xdr:from>
    <xdr:to>
      <xdr:col>15</xdr:col>
      <xdr:colOff>378355</xdr:colOff>
      <xdr:row>40</xdr:row>
      <xdr:rowOff>137053</xdr:rowOff>
    </xdr:to>
    <xdr:graphicFrame macro="">
      <xdr:nvGraphicFramePr>
        <xdr:cNvPr id="22" name="Chart 21">
          <a:extLst>
            <a:ext uri="{FF2B5EF4-FFF2-40B4-BE49-F238E27FC236}">
              <a16:creationId xmlns:a16="http://schemas.microsoft.com/office/drawing/2014/main" id="{9E38940E-C0E1-4D26-9E29-FCEA97151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582084</xdr:colOff>
      <xdr:row>1</xdr:row>
      <xdr:rowOff>13231</xdr:rowOff>
    </xdr:from>
    <xdr:to>
      <xdr:col>18</xdr:col>
      <xdr:colOff>476250</xdr:colOff>
      <xdr:row>10</xdr:row>
      <xdr:rowOff>26459</xdr:rowOff>
    </xdr:to>
    <mc:AlternateContent xmlns:mc="http://schemas.openxmlformats.org/markup-compatibility/2006" xmlns:a14="http://schemas.microsoft.com/office/drawing/2010/main">
      <mc:Choice Requires="a14">
        <xdr:graphicFrame macro="">
          <xdr:nvGraphicFramePr>
            <xdr:cNvPr id="4" name="EmploymentStatus">
              <a:extLst>
                <a:ext uri="{FF2B5EF4-FFF2-40B4-BE49-F238E27FC236}">
                  <a16:creationId xmlns:a16="http://schemas.microsoft.com/office/drawing/2014/main" id="{99169F02-6053-40ED-9DC3-6E3D99B422A2}"/>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mlns="">
        <xdr:sp macro="" textlink="">
          <xdr:nvSpPr>
            <xdr:cNvPr id="0" name=""/>
            <xdr:cNvSpPr>
              <a:spLocks noTextEdit="1"/>
            </xdr:cNvSpPr>
          </xdr:nvSpPr>
          <xdr:spPr>
            <a:xfrm>
              <a:off x="9710209" y="198439"/>
              <a:ext cx="1719791" cy="1680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529168</xdr:colOff>
      <xdr:row>11</xdr:row>
      <xdr:rowOff>79376</xdr:rowOff>
    </xdr:from>
    <xdr:to>
      <xdr:col>18</xdr:col>
      <xdr:colOff>532343</xdr:colOff>
      <xdr:row>25</xdr:row>
      <xdr:rowOff>10585</xdr:rowOff>
    </xdr:to>
    <mc:AlternateContent xmlns:mc="http://schemas.openxmlformats.org/markup-compatibility/2006" xmlns:a14="http://schemas.microsoft.com/office/drawing/2010/main">
      <mc:Choice Requires="a14">
        <xdr:graphicFrame macro="">
          <xdr:nvGraphicFramePr>
            <xdr:cNvPr id="5" name="Department Name">
              <a:extLst>
                <a:ext uri="{FF2B5EF4-FFF2-40B4-BE49-F238E27FC236}">
                  <a16:creationId xmlns:a16="http://schemas.microsoft.com/office/drawing/2014/main" id="{1D9C3377-9068-41CE-9269-21370750528D}"/>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9657293" y="211666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515939</xdr:colOff>
      <xdr:row>25</xdr:row>
      <xdr:rowOff>145522</xdr:rowOff>
    </xdr:from>
    <xdr:to>
      <xdr:col>18</xdr:col>
      <xdr:colOff>519114</xdr:colOff>
      <xdr:row>39</xdr:row>
      <xdr:rowOff>76730</xdr:rowOff>
    </xdr:to>
    <mc:AlternateContent xmlns:mc="http://schemas.openxmlformats.org/markup-compatibility/2006" xmlns:a14="http://schemas.microsoft.com/office/drawing/2010/main">
      <mc:Choice Requires="a14">
        <xdr:graphicFrame macro="">
          <xdr:nvGraphicFramePr>
            <xdr:cNvPr id="6" name="Performance Band">
              <a:extLst>
                <a:ext uri="{FF2B5EF4-FFF2-40B4-BE49-F238E27FC236}">
                  <a16:creationId xmlns:a16="http://schemas.microsoft.com/office/drawing/2014/main" id="{45EA0CFF-E2DC-4D6A-8910-408E4F2FC1E9}"/>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mlns="">
        <xdr:sp macro="" textlink="">
          <xdr:nvSpPr>
            <xdr:cNvPr id="0" name=""/>
            <xdr:cNvSpPr>
              <a:spLocks noTextEdit="1"/>
            </xdr:cNvSpPr>
          </xdr:nvSpPr>
          <xdr:spPr>
            <a:xfrm>
              <a:off x="9644064" y="477573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92603</xdr:colOff>
      <xdr:row>11</xdr:row>
      <xdr:rowOff>13229</xdr:rowOff>
    </xdr:from>
    <xdr:to>
      <xdr:col>7</xdr:col>
      <xdr:colOff>357187</xdr:colOff>
      <xdr:row>24</xdr:row>
      <xdr:rowOff>52917</xdr:rowOff>
    </xdr:to>
    <xdr:graphicFrame macro="">
      <xdr:nvGraphicFramePr>
        <xdr:cNvPr id="7" name="Chart 6">
          <a:extLst>
            <a:ext uri="{FF2B5EF4-FFF2-40B4-BE49-F238E27FC236}">
              <a16:creationId xmlns:a16="http://schemas.microsoft.com/office/drawing/2014/main" id="{2286673C-E1FC-4FA7-84B7-45D879695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10</xdr:row>
      <xdr:rowOff>158751</xdr:rowOff>
    </xdr:from>
    <xdr:to>
      <xdr:col>15</xdr:col>
      <xdr:colOff>304270</xdr:colOff>
      <xdr:row>24</xdr:row>
      <xdr:rowOff>92604</xdr:rowOff>
    </xdr:to>
    <xdr:graphicFrame macro="">
      <xdr:nvGraphicFramePr>
        <xdr:cNvPr id="18" name="Chart 17">
          <a:extLst>
            <a:ext uri="{FF2B5EF4-FFF2-40B4-BE49-F238E27FC236}">
              <a16:creationId xmlns:a16="http://schemas.microsoft.com/office/drawing/2014/main" id="{34F27E2B-1423-404E-B6EA-2A61FC568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elegram%20Desktop/HR_Capstone_Completed_Shuaib%20Shukurah%20Modup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0.95237997685" createdVersion="8" refreshedVersion="8" minRefreshableVersion="3" recordCount="157" xr:uid="{5CFC2767-5672-475A-B28B-F8F844CE2B22}">
  <cacheSource type="worksheet">
    <worksheetSource name="EmployeeData" r:id="rId2"/>
  </cacheSource>
  <cacheFields count="13">
    <cacheField name="EMP ID" numFmtId="0">
      <sharedItems containsBlank="1"/>
    </cacheField>
    <cacheField name="First_Name" numFmtId="0">
      <sharedItems containsBlank="1"/>
    </cacheField>
    <cacheField name="Last_Name" numFmtId="0">
      <sharedItems containsBlank="1"/>
    </cacheField>
    <cacheField name="Full Name" numFmtId="0">
      <sharedItems containsBlank="1"/>
    </cacheField>
    <cacheField name="DeptCode" numFmtId="0">
      <sharedItems containsBlank="1"/>
    </cacheField>
    <cacheField name="Hire Date" numFmtId="14">
      <sharedItems containsNonDate="0" containsDate="1" containsString="0" containsBlank="1" minDate="2001-09-15T00:00:00" maxDate="2028-07-18T00:00:00"/>
    </cacheField>
    <cacheField name="Salary" numFmtId="164">
      <sharedItems containsString="0" containsBlank="1" containsNumber="1" minValue="45196" maxValue="118947"/>
    </cacheField>
    <cacheField name="Perf_Score" numFmtId="0">
      <sharedItems containsString="0" containsBlank="1" containsNumber="1" containsInteger="1" minValue="30" maxValue="99"/>
    </cacheField>
    <cacheField name="EmploymentStatus" numFmtId="0">
      <sharedItems containsBlank="1" count="4">
        <s v="Active"/>
        <s v="Left"/>
        <s v="Resigned"/>
        <m/>
      </sharedItems>
    </cacheField>
    <cacheField name="Department Name" numFmtId="0">
      <sharedItems containsBlank="1" count="8">
        <s v="Information Technology"/>
        <s v="Marketing"/>
        <s v="Finance"/>
        <s v="Operations"/>
        <s v="Sales"/>
        <s v="Human Resources"/>
        <m/>
        <e v="#N/A" u="1"/>
      </sharedItems>
    </cacheField>
    <cacheField name="Year of Sevice" numFmtId="0">
      <sharedItems containsString="0" containsBlank="1" containsNumber="1" containsInteger="1" minValue="-2" maxValue="25"/>
    </cacheField>
    <cacheField name="Performance Band" numFmtId="0">
      <sharedItems containsBlank="1" count="6">
        <s v="Developing"/>
        <s v="Achieving"/>
        <s v="Needs Improvement"/>
        <s v="Exceeding"/>
        <s v="Outstanding"/>
        <m/>
      </sharedItems>
    </cacheField>
    <cacheField name="Eligible Bonus Amount" numFmtId="164">
      <sharedItems containsString="0" containsBlank="1" containsNumber="1" minValue="0" maxValue="14273.64"/>
    </cacheField>
  </cacheFields>
  <extLst>
    <ext xmlns:x14="http://schemas.microsoft.com/office/spreadsheetml/2009/9/main" uri="{725AE2AE-9491-48be-B2B4-4EB974FC3084}">
      <x14:pivotCacheDefinition pivotCacheId="15934183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0.955632060184" createdVersion="8" refreshedVersion="8" minRefreshableVersion="3" recordCount="150" xr:uid="{8B3E017D-C958-4274-A21B-3A46F8D9B210}">
  <cacheSource type="worksheet">
    <worksheetSource ref="A1:K151" sheet="Raw_Employee Data"/>
  </cacheSource>
  <cacheFields count="11">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ull Name" numFmtId="0">
      <sharedItems/>
    </cacheField>
    <cacheField name="Dept Code" numFmtId="0">
      <sharedItems/>
    </cacheField>
    <cacheField name="Hire Date" numFmtId="14">
      <sharedItems containsSemiMixedTypes="0" containsNonDate="0" containsDate="1" containsString="0" minDate="2015-01-04T00:00:00" maxDate="2023-12-13T00:00:00"/>
    </cacheField>
    <cacheField name="Years of Service" numFmtId="14">
      <sharedItems/>
    </cacheField>
    <cacheField name="Salary" numFmtId="164">
      <sharedItems containsMixedTypes="1" containsNumber="1" minValue="45196" maxValue="118947"/>
    </cacheField>
    <cacheField name="Perf_Score" numFmtId="0">
      <sharedItems containsSemiMixedTypes="0" containsString="0" containsNumber="1" containsInteger="1" minValue="30" maxValue="99"/>
    </cacheField>
    <cacheField name="Employment Status" numFmtId="0">
      <sharedItems count="5">
        <s v="Active"/>
        <s v="Left"/>
        <s v="Resigned"/>
        <s v=" Active " u="1"/>
        <s v=" Left " u="1"/>
      </sharedItems>
    </cacheField>
    <cacheField name="Department_Name" numFmtId="0">
      <sharedItems count="6">
        <s v="Information Technology"/>
        <s v="Marketing"/>
        <s v="Finance"/>
        <s v="Operations"/>
        <s v="Sales"/>
        <s v="Human Resources"/>
      </sharedItems>
    </cacheField>
    <cacheField name="Performance Bond" numFmtId="0">
      <sharedItems count="5">
        <s v="Developing"/>
        <s v="Achieving"/>
        <s v="Needs Improvement"/>
        <s v="Exceeding"/>
        <s v="Outstanding"/>
      </sharedItems>
    </cacheField>
    <cacheField name="Eligible Bonus Amount" numFmtId="164">
      <sharedItems containsSemiMixedTypes="0" containsString="0" containsNumber="1" minValue="0" maxValue="14273.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0.956480092595" createdVersion="8" refreshedVersion="8" minRefreshableVersion="3" recordCount="150" xr:uid="{24DCED2F-3945-4E18-8360-D353002E0909}">
  <cacheSource type="worksheet">
    <worksheetSource name="Table2"/>
  </cacheSource>
  <cacheFields count="12">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ull Name" numFmtId="0">
      <sharedItems/>
    </cacheField>
    <cacheField name="Dept Code" numFmtId="0">
      <sharedItems/>
    </cacheField>
    <cacheField name="Hire Date" numFmtId="14">
      <sharedItems containsSemiMixedTypes="0" containsNonDate="0" containsDate="1" containsString="0" minDate="2015-01-04T00:00:00" maxDate="2023-12-13T00:00:00"/>
    </cacheField>
    <cacheField name="Years of Service" numFmtId="14">
      <sharedItems count="78">
        <s v="8 Years, 6 Months"/>
        <s v="4 Years, 2 Months"/>
        <s v="10 Years, 4 Months"/>
        <s v="3 Years, 0 Months"/>
        <s v="3 Years, 4 Months"/>
        <s v="6 Years, 4 Months"/>
        <s v="2 Years, 6 Months"/>
        <s v="5 Years, 6 Months"/>
        <s v="9 Years, 8 Months"/>
        <s v="6 Years, 3 Months"/>
        <s v="5 Years, 0 Months"/>
        <s v="6 Years, 0 Months"/>
        <s v="6 Years, 6 Months"/>
        <s v="2 Years, 10 Months"/>
        <s v="10 Years, 7 Months"/>
        <s v="9 Years, 0 Months"/>
        <s v="8 Years, 1 Months"/>
        <s v="9 Years, 11 Months"/>
        <s v="8 Years, 7 Months"/>
        <s v="5 Years, 1 Months"/>
        <s v="3 Years, 9 Months"/>
        <s v="4 Years, 0 Months"/>
        <s v="2 Years, 11 Months"/>
        <s v="6 Years, 9 Months"/>
        <s v="3 Years, 11 Months"/>
        <s v="10 Years, 11 Months"/>
        <s v="2 Years, 9 Months"/>
        <s v="7 Years, 0 Months"/>
        <s v="4 Years, 5 Months"/>
        <s v="10 Years, 10 Months"/>
        <s v="6 Years, 2 Months"/>
        <s v="8 Years, 9 Months"/>
        <s v="8 Years, 3 Months"/>
        <s v="7 Years, 3 Months"/>
        <s v="6 Years, 10 Months"/>
        <s v="9 Years, 9 Months"/>
        <s v="6 Years, 11 Months"/>
        <s v="4 Years, 10 Months"/>
        <s v="9 Years, 5 Months"/>
        <s v="6 Years, 1 Months"/>
        <s v="4 Years, 4 Months"/>
        <s v="7 Years, 6 Months"/>
        <s v="5 Years, 7 Months"/>
        <s v="8 Years, 5 Months"/>
        <s v="2 Years, 7 Months"/>
        <s v="2 Years, 8 Months"/>
        <s v="5 Years, 10 Months"/>
        <s v="9 Years, 4 Months"/>
        <s v="11 Years, 2 Months"/>
        <s v="9 Years, 2 Months"/>
        <s v="9 Years, 7 Months"/>
        <s v="9 Years, 3 Months"/>
        <s v="7 Years, 2 Months"/>
        <s v="4 Years, 11 Months"/>
        <s v="11 Years, 0 Months"/>
        <s v="8 Years, 0 Months"/>
        <s v="7 Years, 1 Months"/>
        <s v="7 Years, 9 Months"/>
        <s v="5 Years, 5 Months"/>
        <s v="6 Years, 7 Months"/>
        <s v="9 Years, 1 Months"/>
        <s v="7 Years, 7 Months"/>
        <s v="10 Years, 8 Months"/>
        <s v="11 Years, 6 Months"/>
        <s v="4 Years, 8 Months"/>
        <s v="11 Years, 3 Months"/>
        <s v="3 Years, 1 Months"/>
        <s v="10 Years, 1 Months"/>
        <s v="7 Years, 4 Months"/>
        <s v="3 Years, 2 Months"/>
        <s v="8 Years, 10 Months"/>
        <s v="3 Years, 6 Months"/>
        <s v="4 Years, 3 Months"/>
        <s v="7 Years, 11 Months"/>
        <s v="8 Years, 11 Months"/>
        <s v="7 Years, 5 Months"/>
        <s v="4 Years, 1 Months"/>
        <s v="3 Years, 8 Months"/>
      </sharedItems>
    </cacheField>
    <cacheField name="Salary" numFmtId="164">
      <sharedItems containsMixedTypes="1" containsNumber="1" minValue="45196" maxValue="118947"/>
    </cacheField>
    <cacheField name="Perf_Score" numFmtId="0">
      <sharedItems containsSemiMixedTypes="0" containsString="0" containsNumber="1" containsInteger="1" minValue="30" maxValue="99"/>
    </cacheField>
    <cacheField name="Employment Status" numFmtId="0">
      <sharedItems count="3">
        <s v="Active"/>
        <s v="Left"/>
        <s v="Resigned"/>
      </sharedItems>
    </cacheField>
    <cacheField name="Department_Name" numFmtId="0">
      <sharedItems count="6">
        <s v="Information Technology"/>
        <s v="Marketing"/>
        <s v="Finance"/>
        <s v="Operations"/>
        <s v="Sales"/>
        <s v="Human Resources"/>
      </sharedItems>
    </cacheField>
    <cacheField name="Performance Bond" numFmtId="0">
      <sharedItems count="5">
        <s v="Developing"/>
        <s v="Achieving"/>
        <s v="Needs Improvement"/>
        <s v="Exceeding"/>
        <s v="Outstanding"/>
      </sharedItems>
    </cacheField>
    <cacheField name="Eligible Bonus Amount" numFmtId="164">
      <sharedItems containsSemiMixedTypes="0" containsString="0" containsNumber="1" minValue="0" maxValue="14273.64"/>
    </cacheField>
    <cacheField name="Attrition Rate" numFmtId="0">
      <sharedItems count="2">
        <s v="No"/>
        <s v="Yes"/>
      </sharedItems>
    </cacheField>
  </cacheFields>
  <extLst>
    <ext xmlns:x14="http://schemas.microsoft.com/office/spreadsheetml/2009/9/main" uri="{725AE2AE-9491-48be-B2B4-4EB974FC3084}">
      <x14:pivotCacheDefinition pivotCacheId="312365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s v="EMP127"/>
    <s v="Emily"/>
    <s v="Brown"/>
    <s v="Emily Brown"/>
    <s v="IT02"/>
    <d v="2017-12-24T00:00:00"/>
    <n v="50361"/>
    <n v="52"/>
    <x v="0"/>
    <x v="0"/>
    <n v="9"/>
    <x v="0"/>
    <n v="1007.22"/>
  </r>
  <r>
    <s v="EMP046"/>
    <s v="Richard"/>
    <s v="Hernandez"/>
    <s v="Richard Hernandez"/>
    <s v="MKT04"/>
    <d v="2022-04-08T00:00:00"/>
    <n v="112673"/>
    <n v="70"/>
    <x v="0"/>
    <x v="1"/>
    <n v="4"/>
    <x v="1"/>
    <n v="5633.6500000000005"/>
  </r>
  <r>
    <s v="EMP134"/>
    <s v="Emily"/>
    <s v="Gonzalez"/>
    <s v="Emily Gonzalez"/>
    <s v="IT02"/>
    <d v="2016-03-02T00:00:00"/>
    <n v="114425"/>
    <n v="54"/>
    <x v="1"/>
    <x v="0"/>
    <n v="10"/>
    <x v="0"/>
    <n v="2288.5"/>
  </r>
  <r>
    <s v="EMP139"/>
    <s v="John"/>
    <s v="Martinez"/>
    <s v="John Martinez"/>
    <s v="FIN03"/>
    <d v="2023-07-03T00:00:00"/>
    <n v="103831"/>
    <n v="70"/>
    <x v="0"/>
    <x v="2"/>
    <n v="3"/>
    <x v="1"/>
    <n v="5191.55"/>
  </r>
  <r>
    <s v="EMP112"/>
    <s v="Thomas"/>
    <s v="Smith"/>
    <s v="Thomas Smith"/>
    <s v="IT02"/>
    <d v="2023-02-20T00:00:00"/>
    <n v="73785"/>
    <n v="40"/>
    <x v="1"/>
    <x v="0"/>
    <n v="3"/>
    <x v="2"/>
    <n v="0"/>
  </r>
  <r>
    <s v="EMP030"/>
    <s v="Emily"/>
    <s v="Johnson"/>
    <s v="Emily Johnson"/>
    <s v="OPS06"/>
    <d v="2002-03-20T00:00:00"/>
    <n v="115882"/>
    <n v="49"/>
    <x v="0"/>
    <x v="3"/>
    <n v="24"/>
    <x v="2"/>
    <n v="0"/>
  </r>
  <r>
    <s v="EMP096"/>
    <s v="John"/>
    <s v="Wilson"/>
    <s v="John Wilson"/>
    <s v="OPS06"/>
    <d v="2023-12-12T00:00:00"/>
    <n v="59980"/>
    <n v="70"/>
    <x v="1"/>
    <x v="3"/>
    <n v="3"/>
    <x v="1"/>
    <n v="2999"/>
  </r>
  <r>
    <s v="EMP098"/>
    <s v="Jessica"/>
    <s v="Smith"/>
    <s v="Jessica Smith"/>
    <s v="OPS06"/>
    <d v="2020-12-09T00:00:00"/>
    <n v="68728"/>
    <n v="45"/>
    <x v="0"/>
    <x v="3"/>
    <n v="6"/>
    <x v="2"/>
    <n v="0"/>
  </r>
  <r>
    <s v="EMP095"/>
    <m/>
    <s v="Rodriguez"/>
    <s v=" Rodriguez"/>
    <s v="FIN03"/>
    <d v="2018-01-07T00:00:00"/>
    <n v="102139"/>
    <n v="79"/>
    <x v="0"/>
    <x v="2"/>
    <n v="8"/>
    <x v="1"/>
    <n v="5106.9500000000007"/>
  </r>
  <r>
    <s v="EMP140"/>
    <s v="Michael"/>
    <s v="Martinez"/>
    <s v="Michael Martinez"/>
    <s v="SAL05"/>
    <d v="2016-11-02T00:00:00"/>
    <n v="94998"/>
    <n v="58"/>
    <x v="0"/>
    <x v="4"/>
    <n v="10"/>
    <x v="0"/>
    <n v="1899.96"/>
  </r>
  <r>
    <s v="EMP020"/>
    <s v="Emily"/>
    <s v="Miller"/>
    <s v="Emily Miller"/>
    <s v="SAL05"/>
    <d v="2020-03-21T00:00:00"/>
    <n v="118635"/>
    <n v="49"/>
    <x v="0"/>
    <x v="4"/>
    <n v="6"/>
    <x v="2"/>
    <n v="0"/>
  </r>
  <r>
    <s v="EMP057"/>
    <s v="Emily"/>
    <s v="Hernandez"/>
    <s v="Emily Hernandez"/>
    <s v="IT02"/>
    <d v="2016-02-25T00:00:00"/>
    <n v="76918"/>
    <n v="62"/>
    <x v="0"/>
    <x v="0"/>
    <n v="10"/>
    <x v="0"/>
    <n v="1538.3600000000001"/>
  </r>
  <r>
    <s v="EMP016"/>
    <s v="Jane"/>
    <s v="Williams"/>
    <s v="Jane Williams"/>
    <s v="MKT04"/>
    <d v="2017-06-21T00:00:00"/>
    <n v="61408"/>
    <n v="48"/>
    <x v="0"/>
    <x v="1"/>
    <n v="9"/>
    <x v="2"/>
    <n v="0"/>
  </r>
  <r>
    <s v="EMP070"/>
    <s v="Jane"/>
    <s v="Miller"/>
    <s v="Jane Miller"/>
    <s v="MKT04"/>
    <d v="2020-06-19T00:00:00"/>
    <n v="99990"/>
    <n v="54"/>
    <x v="0"/>
    <x v="1"/>
    <n v="6"/>
    <x v="0"/>
    <n v="1999.8"/>
  </r>
  <r>
    <s v="EMP025"/>
    <s v="Robert"/>
    <s v="Jones"/>
    <s v="Robert Jones"/>
    <s v="MKT04"/>
    <d v="2019-12-21T00:00:00"/>
    <n v="80385"/>
    <n v="70"/>
    <x v="0"/>
    <x v="1"/>
    <n v="7"/>
    <x v="1"/>
    <n v="4019.25"/>
  </r>
  <r>
    <s v="EMP031"/>
    <s v="Thomas"/>
    <s v="Rodriguez"/>
    <s v="Thomas Rodriguez"/>
    <s v="SAL05"/>
    <d v="2023-08-31T00:00:00"/>
    <n v="65290"/>
    <n v="77"/>
    <x v="0"/>
    <x v="4"/>
    <n v="3"/>
    <x v="1"/>
    <n v="3264.5"/>
  </r>
  <r>
    <s v="EMP126"/>
    <s v="Emily"/>
    <s v="Davis"/>
    <s v="Emily Davis"/>
    <s v="IT02"/>
    <d v="2015-11-29T00:00:00"/>
    <n v="105765"/>
    <n v="42"/>
    <x v="0"/>
    <x v="0"/>
    <n v="11"/>
    <x v="2"/>
    <n v="0"/>
  </r>
  <r>
    <s v="EMP109"/>
    <s v="James"/>
    <s v="Martinez"/>
    <s v="James Martinez"/>
    <s v="SAL05"/>
    <d v="2017-06-13T00:00:00"/>
    <n v="102921"/>
    <n v="49"/>
    <x v="0"/>
    <x v="4"/>
    <n v="9"/>
    <x v="2"/>
    <n v="0"/>
  </r>
  <r>
    <s v="EMP066"/>
    <s v="Ashley"/>
    <s v="Lopez"/>
    <s v="Ashley Lopez"/>
    <s v="MKT04"/>
    <d v="2018-05-15T00:00:00"/>
    <n v="73984"/>
    <n v="93"/>
    <x v="0"/>
    <x v="1"/>
    <n v="8"/>
    <x v="3"/>
    <n v="5918.72"/>
  </r>
  <r>
    <s v="EMP120"/>
    <s v="Amanda"/>
    <s v="Gonzalez"/>
    <s v="Amanda Gonzalez"/>
    <s v="IT02"/>
    <d v="2016-07-24T00:00:00"/>
    <n v="82713.429999999993"/>
    <n v="75"/>
    <x v="0"/>
    <x v="0"/>
    <n v="10"/>
    <x v="1"/>
    <n v="4135.6714999999995"/>
  </r>
  <r>
    <s v="EMP019"/>
    <s v="Michael"/>
    <s v="Hernandez"/>
    <s v="Michael Hernandez"/>
    <s v="FIN03"/>
    <d v="2017-12-07T00:00:00"/>
    <n v="118527"/>
    <n v="50"/>
    <x v="0"/>
    <x v="2"/>
    <n v="9"/>
    <x v="0"/>
    <n v="2370.54"/>
  </r>
  <r>
    <s v="EMP013"/>
    <s v="Richard"/>
    <s v="Hernandez"/>
    <s v="Richard Hernandez"/>
    <s v="MKT04"/>
    <d v="2021-06-06T00:00:00"/>
    <n v="107871"/>
    <n v="88"/>
    <x v="0"/>
    <x v="1"/>
    <n v="5"/>
    <x v="3"/>
    <n v="8629.68"/>
  </r>
  <r>
    <s v="EMP010"/>
    <s v="Michael"/>
    <s v="Rodriguez"/>
    <s v="Michael Rodriguez"/>
    <s v="IT02"/>
    <d v="2022-09-11T00:00:00"/>
    <n v="93956"/>
    <n v="50"/>
    <x v="1"/>
    <x v="0"/>
    <n v="4"/>
    <x v="0"/>
    <n v="1879.1200000000001"/>
  </r>
  <r>
    <s v="EMP032"/>
    <s v="Jessica"/>
    <s v="Johnson"/>
    <s v="Jessica Johnson"/>
    <s v="FIN03"/>
    <d v="2016-07-14T00:00:00"/>
    <n v="100851"/>
    <n v="64"/>
    <x v="0"/>
    <x v="2"/>
    <n v="10"/>
    <x v="0"/>
    <n v="2017.02"/>
  </r>
  <r>
    <s v="EMP082"/>
    <s v="Ashley"/>
    <s v="Williams"/>
    <s v="Ashley Williams"/>
    <s v="SAL05"/>
    <d v="2022-06-16T00:00:00"/>
    <n v="68655"/>
    <n v="32"/>
    <x v="0"/>
    <x v="4"/>
    <n v="4"/>
    <x v="2"/>
    <n v="0"/>
  </r>
  <r>
    <s v="EMP052"/>
    <m/>
    <s v="Williams"/>
    <s v=" Williams"/>
    <s v="SAL05"/>
    <d v="2023-07-27T00:00:00"/>
    <n v="81205"/>
    <n v="59"/>
    <x v="0"/>
    <x v="4"/>
    <n v="3"/>
    <x v="0"/>
    <n v="1624.1000000000001"/>
  </r>
  <r>
    <s v="EMP129"/>
    <s v="John"/>
    <s v="Wilson"/>
    <s v="John Wilson"/>
    <s v="SAL05"/>
    <d v="2019-09-24T00:00:00"/>
    <n v="77610"/>
    <n v="88"/>
    <x v="0"/>
    <x v="4"/>
    <n v="7"/>
    <x v="3"/>
    <n v="6208.8"/>
  </r>
  <r>
    <s v="EMP146"/>
    <s v="Thomas"/>
    <s v="Rodriguez"/>
    <s v="Thomas Rodriguez"/>
    <s v="IT02"/>
    <d v="2022-07-23T00:00:00"/>
    <n v="50873"/>
    <n v="90"/>
    <x v="0"/>
    <x v="0"/>
    <n v="4"/>
    <x v="3"/>
    <n v="4069.84"/>
  </r>
  <r>
    <s v="EMP099"/>
    <s v="Michael"/>
    <s v="Wilson"/>
    <s v="Michael Wilson"/>
    <s v="FIN03"/>
    <d v="2013-05-18T00:00:00"/>
    <n v="85312"/>
    <n v="66"/>
    <x v="0"/>
    <x v="2"/>
    <n v="13"/>
    <x v="0"/>
    <n v="1706.24"/>
  </r>
  <r>
    <s v="EMP015"/>
    <s v="John"/>
    <s v="Rodriguez"/>
    <s v="John Rodriguez"/>
    <s v="SAL05"/>
    <d v="2015-07-17T00:00:00"/>
    <n v="82713.429999999993"/>
    <n v="68"/>
    <x v="0"/>
    <x v="4"/>
    <n v="11"/>
    <x v="0"/>
    <n v="1654.2685999999999"/>
  </r>
  <r>
    <s v="EMP076"/>
    <s v="Thomas"/>
    <s v="Hernandez"/>
    <s v="Thomas Hernandez"/>
    <s v="OPS06"/>
    <d v="2005-08-15T00:00:00"/>
    <n v="97055"/>
    <n v="80"/>
    <x v="0"/>
    <x v="3"/>
    <n v="21"/>
    <x v="1"/>
    <n v="4852.75"/>
  </r>
  <r>
    <s v="EMP137"/>
    <s v="Michael"/>
    <s v="Johnson"/>
    <s v="Michael Johnson"/>
    <s v="IT02"/>
    <d v="2023-09-26T00:00:00"/>
    <n v="66069"/>
    <n v="72"/>
    <x v="0"/>
    <x v="0"/>
    <n v="3"/>
    <x v="1"/>
    <n v="3303.4500000000003"/>
  </r>
  <r>
    <s v="EMP056"/>
    <s v="Sarah"/>
    <s v="Brown"/>
    <s v="Sarah Brown"/>
    <s v="IT02"/>
    <d v="2010-06-19T00:00:00"/>
    <n v="90157"/>
    <n v="58"/>
    <x v="0"/>
    <x v="0"/>
    <n v="16"/>
    <x v="0"/>
    <n v="1803.14"/>
  </r>
  <r>
    <s v="EMP125"/>
    <s v="Jane"/>
    <s v="Martinez"/>
    <s v="Jane Martinez"/>
    <s v="HR01"/>
    <d v="2022-01-17T00:00:00"/>
    <n v="59899"/>
    <n v="78"/>
    <x v="0"/>
    <x v="5"/>
    <n v="4"/>
    <x v="1"/>
    <n v="2994.9500000000003"/>
  </r>
  <r>
    <s v="EMP085"/>
    <s v="Emily"/>
    <s v="Jones"/>
    <s v="Emily Jones"/>
    <s v="FIN03"/>
    <d v="2003-07-17T00:00:00"/>
    <n v="113389"/>
    <n v="30"/>
    <x v="0"/>
    <x v="2"/>
    <n v="23"/>
    <x v="2"/>
    <n v="0"/>
  </r>
  <r>
    <s v="EMP106"/>
    <m/>
    <s v="Brown"/>
    <s v=" Brown"/>
    <s v="IT02"/>
    <d v="2001-09-15T00:00:00"/>
    <n v="102691"/>
    <n v="52"/>
    <x v="0"/>
    <x v="0"/>
    <n v="25"/>
    <x v="0"/>
    <n v="2053.8200000000002"/>
  </r>
  <r>
    <s v="EMP043"/>
    <s v="John"/>
    <s v="Wilson"/>
    <s v="John Wilson"/>
    <s v="OPS06"/>
    <d v="2003-08-22T00:00:00"/>
    <n v="111845"/>
    <n v="98"/>
    <x v="0"/>
    <x v="3"/>
    <n v="23"/>
    <x v="4"/>
    <n v="13421.4"/>
  </r>
  <r>
    <s v="EMP068"/>
    <s v="Melissa"/>
    <s v="Brown"/>
    <s v="Melissa Brown"/>
    <s v="SAL05"/>
    <d v="2022-06-29T00:00:00"/>
    <n v="69219"/>
    <n v="93"/>
    <x v="0"/>
    <x v="4"/>
    <n v="4"/>
    <x v="3"/>
    <n v="5537.52"/>
  </r>
  <r>
    <s v="EMP128"/>
    <s v="Michael"/>
    <s v="Smith"/>
    <s v="Michael Smith"/>
    <s v="FIN03"/>
    <d v="2020-04-28T00:00:00"/>
    <n v="82713.429999999993"/>
    <n v="80"/>
    <x v="1"/>
    <x v="2"/>
    <n v="6"/>
    <x v="1"/>
    <n v="4135.6714999999995"/>
  </r>
  <r>
    <s v="EMP027"/>
    <s v="Sarah"/>
    <s v="Miller"/>
    <s v="Sarah Miller"/>
    <s v="OPS06"/>
    <d v="2017-09-09T00:00:00"/>
    <n v="57514"/>
    <n v="70"/>
    <x v="0"/>
    <x v="3"/>
    <n v="9"/>
    <x v="1"/>
    <n v="2875.7000000000003"/>
  </r>
  <r>
    <s v="EMP136"/>
    <s v="Emily"/>
    <s v="Wilson"/>
    <s v="Emily Wilson"/>
    <s v="SAL05"/>
    <d v="2018-03-22T00:00:00"/>
    <n v="86245"/>
    <n v="71"/>
    <x v="1"/>
    <x v="4"/>
    <n v="8"/>
    <x v="1"/>
    <n v="4312.25"/>
  </r>
  <r>
    <s v="EMP079"/>
    <s v="David"/>
    <s v="Hernandez"/>
    <s v="David Hernandez"/>
    <s v="SAL05"/>
    <d v="2020-05-07T00:00:00"/>
    <n v="52407"/>
    <n v="55"/>
    <x v="0"/>
    <x v="4"/>
    <n v="6"/>
    <x v="0"/>
    <n v="1048.1400000000001"/>
  </r>
  <r>
    <s v="EMP149"/>
    <s v="James"/>
    <s v="Smith"/>
    <s v="James Smith"/>
    <s v="OPS06"/>
    <d v="2019-03-25T00:00:00"/>
    <n v="66606"/>
    <n v="93"/>
    <x v="2"/>
    <x v="3"/>
    <n v="7"/>
    <x v="3"/>
    <n v="5328.4800000000005"/>
  </r>
  <r>
    <s v="EMP037"/>
    <s v="Sarah"/>
    <s v="Williams"/>
    <s v="Sarah Williams"/>
    <s v="IT02"/>
    <d v="2019-08-09T00:00:00"/>
    <n v="81896"/>
    <n v="79"/>
    <x v="2"/>
    <x v="0"/>
    <n v="7"/>
    <x v="1"/>
    <n v="4094.8"/>
  </r>
  <r>
    <s v="EMP077"/>
    <s v="Amanda"/>
    <s v="Lopez"/>
    <s v="Amanda Lopez"/>
    <s v="SAL05"/>
    <d v="2016-07-14T00:00:00"/>
    <n v="78402"/>
    <n v="54"/>
    <x v="0"/>
    <x v="4"/>
    <n v="10"/>
    <x v="0"/>
    <n v="1568.04"/>
  </r>
  <r>
    <s v="EMP023"/>
    <s v="Thomas"/>
    <s v="Lopez"/>
    <s v="Thomas Lopez"/>
    <s v="OPS06"/>
    <d v="2016-10-04T00:00:00"/>
    <n v="105498"/>
    <n v="76"/>
    <x v="0"/>
    <x v="3"/>
    <n v="10"/>
    <x v="1"/>
    <n v="5274.9000000000005"/>
  </r>
  <r>
    <s v="EMP133"/>
    <s v="Melissa"/>
    <s v="Johnson"/>
    <s v="Melissa Johnson"/>
    <s v="MKT04"/>
    <d v="2010-07-19T00:00:00"/>
    <n v="91749"/>
    <n v="72"/>
    <x v="1"/>
    <x v="1"/>
    <n v="16"/>
    <x v="1"/>
    <n v="4587.45"/>
  </r>
  <r>
    <s v="EMP141"/>
    <s v="Amanda"/>
    <s v="Johnson"/>
    <s v="Amanda Johnson"/>
    <s v="OPS06"/>
    <d v="2021-08-29T00:00:00"/>
    <n v="99935"/>
    <n v="84"/>
    <x v="2"/>
    <x v="3"/>
    <n v="5"/>
    <x v="1"/>
    <n v="4996.75"/>
  </r>
  <r>
    <s v="EMP012"/>
    <s v="John"/>
    <s v="Davis"/>
    <s v="John Davis"/>
    <s v="IT02"/>
    <d v="2017-01-26T00:00:00"/>
    <n v="83531"/>
    <n v="30"/>
    <x v="1"/>
    <x v="0"/>
    <n v="9"/>
    <x v="2"/>
    <n v="0"/>
  </r>
  <r>
    <s v="EMP080"/>
    <s v="James"/>
    <s v="Johnson"/>
    <s v="James Johnson"/>
    <s v="MKT04"/>
    <d v="2020-05-30T00:00:00"/>
    <n v="75023"/>
    <n v="70"/>
    <x v="0"/>
    <x v="1"/>
    <n v="6"/>
    <x v="1"/>
    <n v="3751.15"/>
  </r>
  <r>
    <s v="EMP069"/>
    <s v="Jane"/>
    <s v="Davis"/>
    <s v="Jane Davis"/>
    <s v="HR01"/>
    <d v="2022-02-20T00:00:00"/>
    <n v="93290"/>
    <n v="53"/>
    <x v="0"/>
    <x v="5"/>
    <n v="4"/>
    <x v="0"/>
    <n v="1865.8"/>
  </r>
  <r>
    <s v="EMP150"/>
    <s v="Richard"/>
    <s v="Davis"/>
    <s v="Richard Davis"/>
    <s v="OPS06"/>
    <d v="2016-09-15T00:00:00"/>
    <n v="115527"/>
    <n v="63"/>
    <x v="2"/>
    <x v="3"/>
    <n v="10"/>
    <x v="0"/>
    <n v="2310.54"/>
  </r>
  <r>
    <s v="EMP028"/>
    <s v="Thomas"/>
    <s v="Rodriguez"/>
    <s v="Thomas Rodriguez"/>
    <s v="FIN03"/>
    <d v="2019-10-07T00:00:00"/>
    <n v="55920"/>
    <n v="84"/>
    <x v="0"/>
    <x v="2"/>
    <n v="7"/>
    <x v="1"/>
    <n v="2796"/>
  </r>
  <r>
    <s v="EMP087"/>
    <s v="Emily"/>
    <s v="Johnson"/>
    <s v="Emily Johnson"/>
    <s v="SAL05"/>
    <d v="2018-12-30T00:00:00"/>
    <n v="80189"/>
    <n v="30"/>
    <x v="0"/>
    <x v="4"/>
    <n v="8"/>
    <x v="2"/>
    <n v="0"/>
  </r>
  <r>
    <s v="EMP119"/>
    <s v="Emily"/>
    <s v="Garcia"/>
    <s v="Emily Garcia"/>
    <s v="HR01"/>
    <d v="2020-12-24T00:00:00"/>
    <n v="118947"/>
    <n v="96"/>
    <x v="0"/>
    <x v="5"/>
    <n v="6"/>
    <x v="4"/>
    <n v="14273.64"/>
  </r>
  <r>
    <s v="EMP042"/>
    <s v="Jane"/>
    <s v="Anderson"/>
    <s v="Jane Anderson"/>
    <s v="IT02"/>
    <d v="2023-07-05T00:00:00"/>
    <n v="82713.429999999993"/>
    <n v="54"/>
    <x v="0"/>
    <x v="0"/>
    <n v="3"/>
    <x v="0"/>
    <n v="1654.2685999999999"/>
  </r>
  <r>
    <s v="EMP005"/>
    <s v="Thomas"/>
    <s v="Garcia"/>
    <s v="Thomas Garcia"/>
    <s v="OPS06"/>
    <d v="2020-11-13T00:00:00"/>
    <n v="82713.429999999993"/>
    <n v="75"/>
    <x v="0"/>
    <x v="3"/>
    <n v="6"/>
    <x v="1"/>
    <n v="4135.6714999999995"/>
  </r>
  <r>
    <s v="EMP033"/>
    <s v="David"/>
    <s v="Martinez"/>
    <s v="David Martinez"/>
    <s v="HR01"/>
    <d v="2018-02-07T00:00:00"/>
    <n v="91655"/>
    <n v="95"/>
    <x v="0"/>
    <x v="5"/>
    <n v="8"/>
    <x v="4"/>
    <n v="10998.6"/>
  </r>
  <r>
    <s v="EMP061"/>
    <s v="Emily"/>
    <s v="Brown"/>
    <s v="Emily Brown"/>
    <s v="IT02"/>
    <d v="2023-11-25T00:00:00"/>
    <n v="49435"/>
    <n v="70"/>
    <x v="1"/>
    <x v="0"/>
    <n v="3"/>
    <x v="1"/>
    <n v="2471.75"/>
  </r>
  <r>
    <s v="EMP102"/>
    <s v="Emily"/>
    <s v="Wilson"/>
    <s v="Emily Wilson"/>
    <s v="SAL05"/>
    <d v="2023-10-18T00:00:00"/>
    <n v="110381"/>
    <n v="93"/>
    <x v="0"/>
    <x v="4"/>
    <n v="3"/>
    <x v="3"/>
    <n v="8830.48"/>
  </r>
  <r>
    <s v="EMP067"/>
    <s v="Michael"/>
    <s v="Anderson"/>
    <s v="Michael Anderson"/>
    <s v="HR01"/>
    <d v="2020-09-05T00:00:00"/>
    <n v="114748"/>
    <n v="33"/>
    <x v="0"/>
    <x v="5"/>
    <n v="6"/>
    <x v="2"/>
    <n v="0"/>
  </r>
  <r>
    <s v="EMP017"/>
    <s v="Robert"/>
    <s v="Johnson"/>
    <s v="Robert Johnson"/>
    <s v="OPS06"/>
    <d v="2017-03-06T00:00:00"/>
    <n v="63302"/>
    <n v="91"/>
    <x v="0"/>
    <x v="3"/>
    <n v="9"/>
    <x v="3"/>
    <n v="5064.16"/>
  </r>
  <r>
    <s v="EMP123"/>
    <s v="Robert"/>
    <s v="Miller"/>
    <s v="Robert Miller"/>
    <s v="IT02"/>
    <d v="2015-04-28T00:00:00"/>
    <n v="75519"/>
    <n v="64"/>
    <x v="0"/>
    <x v="0"/>
    <n v="11"/>
    <x v="0"/>
    <n v="1510.38"/>
  </r>
  <r>
    <s v="EMP011"/>
    <s v="Jane"/>
    <s v="Davis"/>
    <s v="Jane Davis"/>
    <s v="FIN03"/>
    <d v="2017-04-13T00:00:00"/>
    <n v="103891"/>
    <n v="80"/>
    <x v="0"/>
    <x v="2"/>
    <n v="9"/>
    <x v="1"/>
    <n v="5194.55"/>
  </r>
  <r>
    <s v="EMP091"/>
    <s v="Thomas"/>
    <s v="Davis"/>
    <s v="Thomas Davis"/>
    <s v="OPS06"/>
    <d v="2022-09-23T00:00:00"/>
    <n v="82713.429999999993"/>
    <n v="46"/>
    <x v="1"/>
    <x v="3"/>
    <n v="4"/>
    <x v="2"/>
    <n v="0"/>
  </r>
  <r>
    <s v="EMP145"/>
    <s v="Thomas"/>
    <s v="Jones"/>
    <s v="Thomas Jones"/>
    <s v="MKT04"/>
    <d v="2016-11-11T00:00:00"/>
    <n v="50936"/>
    <n v="99"/>
    <x v="0"/>
    <x v="1"/>
    <n v="10"/>
    <x v="4"/>
    <n v="6112.32"/>
  </r>
  <r>
    <s v="EMP001"/>
    <s v="Michael"/>
    <s v="Miller"/>
    <s v="Michael Miller"/>
    <s v="SAL05"/>
    <d v="2024-03-17T00:00:00"/>
    <n v="111240"/>
    <n v="70"/>
    <x v="0"/>
    <x v="4"/>
    <n v="2"/>
    <x v="1"/>
    <n v="5562"/>
  </r>
  <r>
    <s v="EMP113"/>
    <s v="Richard"/>
    <s v="Gonzalez"/>
    <s v="Richard Gonzalez"/>
    <s v="HR01"/>
    <d v="2005-05-19T00:00:00"/>
    <n v="51567"/>
    <n v="87"/>
    <x v="2"/>
    <x v="5"/>
    <n v="21"/>
    <x v="3"/>
    <n v="4125.3599999999997"/>
  </r>
  <r>
    <s v="EMP065"/>
    <s v="Melissa"/>
    <s v="Williams"/>
    <s v="Melissa Williams"/>
    <s v="HR01"/>
    <d v="2021-07-25T00:00:00"/>
    <n v="82713.429999999993"/>
    <n v="36"/>
    <x v="0"/>
    <x v="5"/>
    <n v="5"/>
    <x v="2"/>
    <n v="0"/>
  </r>
  <r>
    <s v="EMP045"/>
    <s v="Robert"/>
    <s v="Miller"/>
    <s v="Robert Miller"/>
    <s v="HR01"/>
    <d v="2017-09-30T00:00:00"/>
    <n v="55270"/>
    <n v="87"/>
    <x v="0"/>
    <x v="5"/>
    <n v="9"/>
    <x v="3"/>
    <n v="4421.6000000000004"/>
  </r>
  <r>
    <s v="EMP083"/>
    <s v="William"/>
    <s v="Garcia"/>
    <s v="William Garcia"/>
    <s v="SAL05"/>
    <d v="2015-07-07T00:00:00"/>
    <n v="65235"/>
    <n v="97"/>
    <x v="0"/>
    <x v="4"/>
    <n v="11"/>
    <x v="4"/>
    <n v="7828.2"/>
  </r>
  <r>
    <s v="EMP029"/>
    <s v="John"/>
    <s v="Gonzalez"/>
    <s v="John Gonzalez"/>
    <s v="SAL05"/>
    <d v="2018-07-02T00:00:00"/>
    <n v="82713.429999999993"/>
    <n v="72"/>
    <x v="1"/>
    <x v="4"/>
    <n v="8"/>
    <x v="1"/>
    <n v="4135.6714999999995"/>
  </r>
  <r>
    <s v="EMP041"/>
    <s v="James"/>
    <s v="Gonzalez"/>
    <s v="James Gonzalez"/>
    <s v="SAL05"/>
    <d v="2022-09-15T00:00:00"/>
    <n v="82713.429999999993"/>
    <n v="65"/>
    <x v="1"/>
    <x v="4"/>
    <n v="4"/>
    <x v="0"/>
    <n v="1654.2685999999999"/>
  </r>
  <r>
    <s v="EMP026"/>
    <s v="Jane"/>
    <s v="Gonzalez"/>
    <s v="Jane Gonzalez"/>
    <s v="SAL05"/>
    <d v="2015-09-02T00:00:00"/>
    <n v="82713.429999999993"/>
    <n v="67"/>
    <x v="0"/>
    <x v="4"/>
    <n v="11"/>
    <x v="0"/>
    <n v="1654.2685999999999"/>
  </r>
  <r>
    <s v="EMP024"/>
    <s v="David"/>
    <s v="Wilson"/>
    <s v="David Wilson"/>
    <s v="OPS06"/>
    <d v="2011-10-16T00:00:00"/>
    <n v="48823"/>
    <n v="34"/>
    <x v="0"/>
    <x v="3"/>
    <n v="15"/>
    <x v="2"/>
    <n v="0"/>
  </r>
  <r>
    <s v="EMP111"/>
    <s v="Jane"/>
    <s v="Gonzalez"/>
    <s v="Jane Gonzalez"/>
    <s v="FIN03"/>
    <d v="2019-04-20T00:00:00"/>
    <n v="45196"/>
    <n v="78"/>
    <x v="1"/>
    <x v="2"/>
    <n v="7"/>
    <x v="1"/>
    <n v="2259.8000000000002"/>
  </r>
  <r>
    <s v="EMP040"/>
    <s v="Jane"/>
    <s v="Rodriguez"/>
    <s v="Jane Rodriguez"/>
    <s v="IT02"/>
    <d v="2017-02-19T00:00:00"/>
    <n v="86246"/>
    <n v="61"/>
    <x v="0"/>
    <x v="0"/>
    <n v="9"/>
    <x v="0"/>
    <n v="1724.92"/>
  </r>
  <r>
    <s v="EMP086"/>
    <s v="Emily"/>
    <s v="Miller"/>
    <s v="Emily Miller"/>
    <s v="SAL05"/>
    <d v="2021-09-07T00:00:00"/>
    <n v="70359"/>
    <n v="74"/>
    <x v="1"/>
    <x v="4"/>
    <n v="5"/>
    <x v="1"/>
    <n v="3517.9500000000003"/>
  </r>
  <r>
    <s v="EMP124"/>
    <s v="Sarah"/>
    <s v="Miller"/>
    <s v="Sarah Miller"/>
    <s v="MKT04"/>
    <d v="2019-05-14T00:00:00"/>
    <n v="82713.429999999993"/>
    <n v="94"/>
    <x v="0"/>
    <x v="1"/>
    <n v="7"/>
    <x v="3"/>
    <n v="6617.0743999999995"/>
  </r>
  <r>
    <s v="EMP132"/>
    <s v="Jessica"/>
    <s v="Garcia"/>
    <s v="Jessica Garcia"/>
    <s v="OPS06"/>
    <d v="2015-11-22T00:00:00"/>
    <n v="86480"/>
    <n v="70"/>
    <x v="0"/>
    <x v="3"/>
    <n v="11"/>
    <x v="1"/>
    <n v="4324"/>
  </r>
  <r>
    <s v="EMP048"/>
    <s v="Richard"/>
    <s v="Smith"/>
    <s v="Richard Smith"/>
    <s v="HR01"/>
    <d v="2018-09-29T00:00:00"/>
    <n v="47694"/>
    <n v="75"/>
    <x v="0"/>
    <x v="5"/>
    <n v="8"/>
    <x v="1"/>
    <n v="2384.7000000000003"/>
  </r>
  <r>
    <s v="EMP114"/>
    <s v="Melissa"/>
    <s v="Wilson"/>
    <s v="Melissa Wilson"/>
    <s v="IT02"/>
    <d v="2023-09-02T00:00:00"/>
    <n v="83724"/>
    <n v="81"/>
    <x v="2"/>
    <x v="0"/>
    <n v="3"/>
    <x v="1"/>
    <n v="4186.2"/>
  </r>
  <r>
    <s v="EMP062"/>
    <s v="Thomas"/>
    <s v="Williams"/>
    <s v="Thomas Williams"/>
    <s v="FIN03"/>
    <d v="2022-07-17T00:00:00"/>
    <n v="98299"/>
    <n v="61"/>
    <x v="0"/>
    <x v="2"/>
    <n v="4"/>
    <x v="0"/>
    <n v="1965.98"/>
  </r>
  <r>
    <s v="EMP074"/>
    <s v="David"/>
    <s v="Williams"/>
    <s v="David Williams"/>
    <s v="FIN03"/>
    <d v="2007-02-21T00:00:00"/>
    <n v="82713.429999999993"/>
    <n v="68"/>
    <x v="0"/>
    <x v="2"/>
    <n v="19"/>
    <x v="0"/>
    <n v="1654.2685999999999"/>
  </r>
  <r>
    <s v="EMP034"/>
    <s v="John"/>
    <s v="Johnson"/>
    <s v="John Johnson"/>
    <s v="IT02"/>
    <d v="2023-10-04T00:00:00"/>
    <n v="52287"/>
    <n v="70"/>
    <x v="0"/>
    <x v="0"/>
    <n v="3"/>
    <x v="1"/>
    <n v="2614.3500000000004"/>
  </r>
  <r>
    <s v="EMP105"/>
    <s v="Richard"/>
    <s v="Gonzalez"/>
    <s v="Richard Gonzalez"/>
    <s v="IT02"/>
    <d v="2020-08-30T00:00:00"/>
    <n v="82633"/>
    <n v="98"/>
    <x v="0"/>
    <x v="0"/>
    <n v="6"/>
    <x v="4"/>
    <n v="9915.9599999999991"/>
  </r>
  <r>
    <s v="EMP118"/>
    <s v="Melissa"/>
    <s v="Anderson"/>
    <s v="Melissa Anderson"/>
    <s v="OPS06"/>
    <d v="2021-08-14T00:00:00"/>
    <n v="46508"/>
    <n v="34"/>
    <x v="0"/>
    <x v="3"/>
    <n v="5"/>
    <x v="2"/>
    <n v="0"/>
  </r>
  <r>
    <s v="EMP063"/>
    <s v="Emily"/>
    <s v="Gonzalez"/>
    <s v="Emily Gonzalez"/>
    <s v="HR01"/>
    <d v="2027-11-19T00:00:00"/>
    <n v="86232"/>
    <n v="93"/>
    <x v="0"/>
    <x v="5"/>
    <n v="-1"/>
    <x v="3"/>
    <n v="6898.56"/>
  </r>
  <r>
    <s v="EMP094"/>
    <s v="Jane"/>
    <s v="Davis"/>
    <s v="Jane Davis"/>
    <s v="IT02"/>
    <d v="2025-05-17T00:00:00"/>
    <n v="77545"/>
    <n v="48"/>
    <x v="0"/>
    <x v="0"/>
    <n v="1"/>
    <x v="2"/>
    <n v="0"/>
  </r>
  <r>
    <s v="EMP097"/>
    <s v="William"/>
    <s v="Gonzalez"/>
    <s v="William Gonzalez"/>
    <s v="OPS06"/>
    <d v="2018-12-02T00:00:00"/>
    <n v="68683"/>
    <n v="90"/>
    <x v="0"/>
    <x v="3"/>
    <n v="8"/>
    <x v="3"/>
    <n v="5494.64"/>
  </r>
  <r>
    <s v="EMP054"/>
    <s v="Thomas"/>
    <s v="Jones"/>
    <s v="Thomas Jones"/>
    <s v="FIN03"/>
    <d v="2019-06-23T00:00:00"/>
    <n v="83932"/>
    <n v="57"/>
    <x v="1"/>
    <x v="2"/>
    <n v="7"/>
    <x v="0"/>
    <n v="1678.64"/>
  </r>
  <r>
    <s v="EMP006"/>
    <s v="Jessica"/>
    <s v="Anderson"/>
    <s v="Jessica Anderson"/>
    <s v="HR01"/>
    <d v="2015-10-27T00:00:00"/>
    <n v="56073"/>
    <n v="79"/>
    <x v="0"/>
    <x v="5"/>
    <n v="11"/>
    <x v="1"/>
    <n v="2803.65"/>
  </r>
  <r>
    <s v="EMP110"/>
    <s v="Melissa"/>
    <s v="Johnson"/>
    <s v="Melissa Johnson"/>
    <s v="IT02"/>
    <d v="2018-06-19T00:00:00"/>
    <n v="88056"/>
    <n v="66"/>
    <x v="0"/>
    <x v="0"/>
    <n v="8"/>
    <x v="0"/>
    <n v="1761.1200000000001"/>
  </r>
  <r>
    <s v="EMP147"/>
    <s v="Thomas"/>
    <s v="Miller"/>
    <s v="Thomas Miller"/>
    <s v="OPS06"/>
    <d v="2018-01-12T00:00:00"/>
    <n v="67414"/>
    <n v="84"/>
    <x v="1"/>
    <x v="3"/>
    <n v="8"/>
    <x v="1"/>
    <n v="3370.7000000000003"/>
  </r>
  <r>
    <s v="EMP050"/>
    <s v="William"/>
    <s v="Gonzalez"/>
    <s v="William Gonzalez"/>
    <s v="SAL05"/>
    <d v="2015-01-04T00:00:00"/>
    <n v="115288"/>
    <n v="61"/>
    <x v="0"/>
    <x v="4"/>
    <n v="11"/>
    <x v="0"/>
    <n v="2305.7600000000002"/>
  </r>
  <r>
    <s v="EMP036"/>
    <m/>
    <s v="Smith"/>
    <s v=" Smith"/>
    <s v="SAL05"/>
    <d v="2018-12-05T00:00:00"/>
    <n v="80140"/>
    <n v="58"/>
    <x v="0"/>
    <x v="4"/>
    <n v="8"/>
    <x v="0"/>
    <n v="1602.8"/>
  </r>
  <r>
    <s v="EMP081"/>
    <s v="John"/>
    <s v="Johnson"/>
    <s v="John Johnson"/>
    <s v="IT02"/>
    <d v="2021-10-13T00:00:00"/>
    <n v="73087"/>
    <n v="69"/>
    <x v="0"/>
    <x v="0"/>
    <n v="5"/>
    <x v="0"/>
    <n v="1461.74"/>
  </r>
  <r>
    <s v="EMP078"/>
    <s v="Jane"/>
    <s v="Johnson"/>
    <s v="Jane Johnson"/>
    <s v="SAL05"/>
    <d v="2020-09-07T00:00:00"/>
    <n v="95292"/>
    <n v="34"/>
    <x v="0"/>
    <x v="4"/>
    <n v="6"/>
    <x v="2"/>
    <n v="0"/>
  </r>
  <r>
    <s v="EMP035"/>
    <s v="John"/>
    <s v="Jones"/>
    <s v="John Jones"/>
    <s v="IT02"/>
    <d v="2019-03-08T00:00:00"/>
    <n v="82713.429999999993"/>
    <n v="33"/>
    <x v="0"/>
    <x v="0"/>
    <n v="7"/>
    <x v="2"/>
    <n v="0"/>
  </r>
  <r>
    <s v="EMP047"/>
    <s v="Jane"/>
    <s v="Lopez"/>
    <s v="Jane Lopez"/>
    <s v="MKT04"/>
    <d v="2011-03-15T00:00:00"/>
    <n v="101750"/>
    <n v="84"/>
    <x v="1"/>
    <x v="1"/>
    <n v="15"/>
    <x v="1"/>
    <n v="5087.5"/>
  </r>
  <r>
    <s v="EMP008"/>
    <s v="Melissa"/>
    <s v="Gonzalez"/>
    <s v="Melissa Gonzalez"/>
    <s v="MKT04"/>
    <d v="2019-02-17T00:00:00"/>
    <n v="82992"/>
    <n v="79"/>
    <x v="0"/>
    <x v="1"/>
    <n v="7"/>
    <x v="1"/>
    <n v="4149.6000000000004"/>
  </r>
  <r>
    <s v="EMP044"/>
    <s v="William"/>
    <s v="Davis"/>
    <s v="William Davis"/>
    <s v="IT02"/>
    <d v="2023-05-09T00:00:00"/>
    <n v="49942"/>
    <n v="51"/>
    <x v="0"/>
    <x v="0"/>
    <n v="3"/>
    <x v="0"/>
    <n v="998.84"/>
  </r>
  <r>
    <s v="EMP071"/>
    <s v="John"/>
    <s v="Smith"/>
    <s v="John Smith"/>
    <s v="OPS06"/>
    <d v="2018-01-22T00:00:00"/>
    <n v="89060"/>
    <n v="58"/>
    <x v="0"/>
    <x v="3"/>
    <n v="8"/>
    <x v="0"/>
    <n v="1781.2"/>
  </r>
  <r>
    <s v="EMP115"/>
    <s v="James"/>
    <s v="Gonzalez"/>
    <s v="James Gonzalez"/>
    <s v="IT02"/>
    <d v="2020-02-18T00:00:00"/>
    <n v="53786"/>
    <n v="98"/>
    <x v="0"/>
    <x v="0"/>
    <n v="6"/>
    <x v="4"/>
    <n v="6454.32"/>
  </r>
  <r>
    <s v="EMP092"/>
    <s v="Emily"/>
    <s v="Johnson"/>
    <s v="Emily Johnson"/>
    <s v="OPS06"/>
    <d v="2016-05-22T00:00:00"/>
    <n v="81167"/>
    <n v="70"/>
    <x v="0"/>
    <x v="3"/>
    <n v="10"/>
    <x v="1"/>
    <n v="4058.3500000000004"/>
  </r>
  <r>
    <s v="EMP084"/>
    <s v="William"/>
    <s v="Williams"/>
    <s v="William Williams"/>
    <s v="MKT04"/>
    <d v="2021-06-02T00:00:00"/>
    <n v="66688"/>
    <n v="40"/>
    <x v="1"/>
    <x v="1"/>
    <n v="5"/>
    <x v="2"/>
    <n v="0"/>
  </r>
  <r>
    <s v="EMP142"/>
    <s v="James"/>
    <s v="Jones"/>
    <s v="James Jones"/>
    <s v="IT02"/>
    <d v="2021-07-17T00:00:00"/>
    <n v="91672"/>
    <n v="88"/>
    <x v="0"/>
    <x v="0"/>
    <n v="5"/>
    <x v="3"/>
    <n v="7333.76"/>
  </r>
  <r>
    <s v="EMP143"/>
    <s v="Jessica"/>
    <s v="Gonzalez"/>
    <s v="Jessica Gonzalez"/>
    <s v="HR01"/>
    <d v="2013-11-16T00:00:00"/>
    <n v="77737"/>
    <n v="77"/>
    <x v="0"/>
    <x v="5"/>
    <n v="13"/>
    <x v="1"/>
    <n v="3886.8500000000004"/>
  </r>
  <r>
    <s v="EMP090"/>
    <s v="Sarah"/>
    <s v="Miller"/>
    <s v="Sarah Miller"/>
    <s v="SAL05"/>
    <d v="2019-02-17T00:00:00"/>
    <n v="95686"/>
    <n v="91"/>
    <x v="0"/>
    <x v="4"/>
    <n v="7"/>
    <x v="3"/>
    <n v="7654.88"/>
  </r>
  <r>
    <s v="EMP009"/>
    <s v="Jessica"/>
    <s v="Smith"/>
    <s v="Jessica Smith"/>
    <s v="SAL05"/>
    <d v="2016-09-12T00:00:00"/>
    <n v="114681"/>
    <n v="36"/>
    <x v="0"/>
    <x v="4"/>
    <n v="10"/>
    <x v="2"/>
    <n v="0"/>
  </r>
  <r>
    <s v="EMP014"/>
    <s v="Thomas"/>
    <s v="Jones"/>
    <s v="Thomas Jones"/>
    <s v="OPS06"/>
    <d v="2013-08-21T00:00:00"/>
    <n v="109121"/>
    <n v="72"/>
    <x v="0"/>
    <x v="3"/>
    <n v="13"/>
    <x v="1"/>
    <n v="5456.05"/>
  </r>
  <r>
    <s v="EMP060"/>
    <s v="Amanda"/>
    <s v="Brown"/>
    <s v="Amanda Brown"/>
    <s v="MKT04"/>
    <d v="2020-06-14T00:00:00"/>
    <n v="112791"/>
    <n v="87"/>
    <x v="0"/>
    <x v="1"/>
    <n v="6"/>
    <x v="3"/>
    <n v="9023.2800000000007"/>
  </r>
  <r>
    <s v="EMP135"/>
    <s v="Robert"/>
    <s v="Martinez"/>
    <s v="Robert Martinez"/>
    <s v="IT02"/>
    <d v="2005-07-22T00:00:00"/>
    <n v="118008"/>
    <n v="71"/>
    <x v="0"/>
    <x v="0"/>
    <n v="21"/>
    <x v="1"/>
    <n v="5900.4000000000005"/>
  </r>
  <r>
    <s v="EMP004"/>
    <s v="Thomas"/>
    <s v="Miller"/>
    <s v="Thomas Miller"/>
    <s v="IT02"/>
    <d v="2016-07-10T00:00:00"/>
    <n v="74370"/>
    <n v="82"/>
    <x v="0"/>
    <x v="0"/>
    <n v="10"/>
    <x v="1"/>
    <n v="3718.5"/>
  </r>
  <r>
    <s v="EMP018"/>
    <s v="David"/>
    <s v="Rodriguez"/>
    <s v="David Rodriguez"/>
    <s v="IT02"/>
    <d v="2022-04-23T00:00:00"/>
    <n v="77819"/>
    <n v="79"/>
    <x v="0"/>
    <x v="0"/>
    <n v="4"/>
    <x v="1"/>
    <n v="3890.9500000000003"/>
  </r>
  <r>
    <s v="EMP039"/>
    <s v="Jane"/>
    <s v="Miller"/>
    <s v="Jane Miller"/>
    <s v="MKT04"/>
    <d v="2017-05-10T00:00:00"/>
    <n v="48748"/>
    <n v="83"/>
    <x v="0"/>
    <x v="1"/>
    <n v="9"/>
    <x v="1"/>
    <n v="2437.4"/>
  </r>
  <r>
    <s v="EMP073"/>
    <s v="James"/>
    <s v="Rodriguez"/>
    <s v="James Rodriguez"/>
    <s v="OPS06"/>
    <d v="2020-05-20T00:00:00"/>
    <n v="101997"/>
    <n v="38"/>
    <x v="2"/>
    <x v="3"/>
    <n v="6"/>
    <x v="2"/>
    <n v="0"/>
  </r>
  <r>
    <s v="EMP138"/>
    <s v="Sarah"/>
    <s v="Rodriguez"/>
    <s v="Sarah Rodriguez"/>
    <s v="HR01"/>
    <d v="2023-04-20T00:00:00"/>
    <n v="115260"/>
    <n v="77"/>
    <x v="0"/>
    <x v="5"/>
    <n v="3"/>
    <x v="1"/>
    <n v="5763"/>
  </r>
  <r>
    <s v="EMP007"/>
    <s v="Sarah"/>
    <s v="Wilson"/>
    <s v="Sarah Wilson"/>
    <s v="SAL05"/>
    <d v="2021-10-31T00:00:00"/>
    <n v="82713.429999999993"/>
    <n v="49"/>
    <x v="0"/>
    <x v="4"/>
    <n v="5"/>
    <x v="2"/>
    <n v="0"/>
  </r>
  <r>
    <s v="EMP144"/>
    <s v="Melissa"/>
    <s v="Brown"/>
    <s v="Melissa Brown"/>
    <s v="IT02"/>
    <d v="2024-10-21T00:00:00"/>
    <n v="82713.429999999993"/>
    <n v="69"/>
    <x v="1"/>
    <x v="0"/>
    <n v="2"/>
    <x v="0"/>
    <n v="1654.2685999999999"/>
  </r>
  <r>
    <s v="EMP101"/>
    <s v="Robert"/>
    <s v="Williams"/>
    <s v="Robert Williams"/>
    <s v="SAL05"/>
    <d v="2017-08-09T00:00:00"/>
    <n v="82713.429999999993"/>
    <n v="76"/>
    <x v="0"/>
    <x v="4"/>
    <n v="9"/>
    <x v="1"/>
    <n v="4135.6714999999995"/>
  </r>
  <r>
    <s v="EMP003"/>
    <s v="Melissa"/>
    <s v="Rodriguez"/>
    <s v="Melissa Rodriguez"/>
    <s v="OPS06"/>
    <d v="2023-01-04T00:00:00"/>
    <n v="60623"/>
    <n v="78"/>
    <x v="0"/>
    <x v="3"/>
    <n v="3"/>
    <x v="1"/>
    <n v="3031.15"/>
  </r>
  <r>
    <s v="EMP121"/>
    <s v="James"/>
    <s v="Johnson"/>
    <s v="James Johnson"/>
    <s v="HR01"/>
    <d v="2010-08-20T00:00:00"/>
    <n v="68092"/>
    <n v="93"/>
    <x v="0"/>
    <x v="5"/>
    <n v="16"/>
    <x v="3"/>
    <n v="5447.36"/>
  </r>
  <r>
    <s v="EMP064"/>
    <s v="Michael"/>
    <s v="Wilson"/>
    <s v="Michael Wilson"/>
    <s v="MKT04"/>
    <d v="2022-04-02T00:00:00"/>
    <n v="88155"/>
    <n v="68"/>
    <x v="0"/>
    <x v="1"/>
    <n v="4"/>
    <x v="0"/>
    <n v="1763.1000000000001"/>
  </r>
  <r>
    <s v="EMP116"/>
    <s v="William"/>
    <s v="Jones"/>
    <s v="William Jones"/>
    <s v="MKT04"/>
    <d v="2024-03-18T00:00:00"/>
    <n v="107903"/>
    <n v="42"/>
    <x v="0"/>
    <x v="1"/>
    <n v="2"/>
    <x v="2"/>
    <n v="0"/>
  </r>
  <r>
    <s v="EMP055"/>
    <s v="William"/>
    <s v="Williams"/>
    <s v="William Williams"/>
    <s v="IT02"/>
    <d v="2018-07-24T00:00:00"/>
    <n v="62818"/>
    <n v="34"/>
    <x v="0"/>
    <x v="0"/>
    <n v="8"/>
    <x v="2"/>
    <n v="0"/>
  </r>
  <r>
    <s v="EMP108"/>
    <s v="David"/>
    <s v="Williams"/>
    <s v="David Williams"/>
    <s v="HR01"/>
    <d v="2018-07-20T00:00:00"/>
    <n v="85151"/>
    <n v="35"/>
    <x v="0"/>
    <x v="5"/>
    <n v="8"/>
    <x v="2"/>
    <n v="0"/>
  </r>
  <r>
    <s v="EMP051"/>
    <s v="Jane"/>
    <s v="Davis"/>
    <s v="Jane Davis"/>
    <s v="FIN03"/>
    <d v="2004-03-16T00:00:00"/>
    <n v="46390"/>
    <n v="95"/>
    <x v="0"/>
    <x v="2"/>
    <n v="22"/>
    <x v="4"/>
    <n v="5566.8"/>
  </r>
  <r>
    <s v="EMP059"/>
    <s v="John"/>
    <s v="Martinez"/>
    <s v="John Martinez"/>
    <s v="HR01"/>
    <d v="2022-03-23T00:00:00"/>
    <n v="111920"/>
    <n v="90"/>
    <x v="1"/>
    <x v="5"/>
    <n v="4"/>
    <x v="3"/>
    <n v="8953.6"/>
  </r>
  <r>
    <s v="EMP049"/>
    <s v="David"/>
    <s v="Anderson"/>
    <s v="David Anderson"/>
    <s v="HR01"/>
    <d v="2028-07-17T00:00:00"/>
    <n v="115618"/>
    <n v="42"/>
    <x v="0"/>
    <x v="5"/>
    <n v="-2"/>
    <x v="2"/>
    <n v="0"/>
  </r>
  <r>
    <s v="EMP089"/>
    <s v="Sarah"/>
    <s v="Smith"/>
    <s v="Sarah Smith"/>
    <s v="SAL05"/>
    <d v="2023-05-11T00:00:00"/>
    <n v="110618"/>
    <n v="88"/>
    <x v="2"/>
    <x v="4"/>
    <n v="3"/>
    <x v="3"/>
    <n v="8849.44"/>
  </r>
  <r>
    <s v="EMP022"/>
    <s v="Melissa"/>
    <s v="Hernandez"/>
    <s v="Melissa Hernandez"/>
    <s v="OPS06"/>
    <d v="2019-03-22T00:00:00"/>
    <n v="108395"/>
    <n v="78"/>
    <x v="1"/>
    <x v="3"/>
    <n v="7"/>
    <x v="1"/>
    <n v="5419.75"/>
  </r>
  <r>
    <s v="EMP058"/>
    <s v="Melissa"/>
    <s v="Johnson"/>
    <s v="Melissa Johnson"/>
    <s v="FIN03"/>
    <d v="2017-12-22T00:00:00"/>
    <n v="88005"/>
    <n v="69"/>
    <x v="0"/>
    <x v="2"/>
    <n v="9"/>
    <x v="0"/>
    <n v="1760.1000000000001"/>
  </r>
  <r>
    <s v="EMP130"/>
    <s v="Jane"/>
    <s v="Garcia"/>
    <s v="Jane Garcia"/>
    <s v="MKT04"/>
    <d v="2021-08-29T00:00:00"/>
    <n v="83007"/>
    <n v="82"/>
    <x v="0"/>
    <x v="1"/>
    <n v="5"/>
    <x v="1"/>
    <n v="4150.3500000000004"/>
  </r>
  <r>
    <s v="EMP038"/>
    <s v="David"/>
    <s v="Davis"/>
    <s v="David Davis"/>
    <s v="IT02"/>
    <d v="2018-09-17T00:00:00"/>
    <n v="61547"/>
    <n v="68"/>
    <x v="0"/>
    <x v="0"/>
    <n v="8"/>
    <x v="0"/>
    <n v="1230.94"/>
  </r>
  <r>
    <s v="EMP148"/>
    <s v="James"/>
    <s v="Wilson"/>
    <s v="James Wilson"/>
    <s v="SAL05"/>
    <d v="2021-06-28T00:00:00"/>
    <n v="82713.429999999993"/>
    <n v="52"/>
    <x v="0"/>
    <x v="4"/>
    <n v="5"/>
    <x v="0"/>
    <n v="1654.2685999999999"/>
  </r>
  <r>
    <s v="EMP002"/>
    <s v="Richard"/>
    <s v="Johnson"/>
    <s v="Richard Johnson"/>
    <s v="OPS06"/>
    <d v="2003-10-17T00:00:00"/>
    <n v="50399"/>
    <n v="92"/>
    <x v="1"/>
    <x v="3"/>
    <n v="23"/>
    <x v="3"/>
    <n v="4031.92"/>
  </r>
  <r>
    <s v="EMP053"/>
    <s v="Richard"/>
    <s v="Williams"/>
    <s v="Richard Williams"/>
    <s v="FIN03"/>
    <d v="2015-10-22T00:00:00"/>
    <n v="82713.429999999993"/>
    <n v="62"/>
    <x v="0"/>
    <x v="2"/>
    <n v="11"/>
    <x v="0"/>
    <n v="1654.2685999999999"/>
  </r>
  <r>
    <s v="EMP131"/>
    <s v="John"/>
    <s v="Hernandez"/>
    <s v="John Hernandez"/>
    <s v="OPS06"/>
    <d v="2018-06-06T00:00:00"/>
    <n v="52720"/>
    <n v="68"/>
    <x v="0"/>
    <x v="3"/>
    <n v="8"/>
    <x v="0"/>
    <n v="1054.4000000000001"/>
  </r>
  <r>
    <s v="EMP104"/>
    <s v="Sarah"/>
    <s v="Gonzalez"/>
    <s v="Sarah Gonzalez"/>
    <s v="OPS06"/>
    <d v="2017-07-16T00:00:00"/>
    <n v="65065"/>
    <n v="98"/>
    <x v="0"/>
    <x v="3"/>
    <n v="9"/>
    <x v="4"/>
    <n v="7807.7999999999993"/>
  </r>
  <r>
    <s v="EMP100"/>
    <s v="Melissa"/>
    <s v="Hernandez"/>
    <s v="Melissa Hernandez"/>
    <s v="SAL05"/>
    <d v="2015-06-20T00:00:00"/>
    <n v="82713.429999999993"/>
    <n v="94"/>
    <x v="2"/>
    <x v="4"/>
    <n v="11"/>
    <x v="3"/>
    <n v="6617.0743999999995"/>
  </r>
  <r>
    <s v="EMP117"/>
    <s v="Melissa"/>
    <s v="Hernandez"/>
    <s v="Melissa Hernandez"/>
    <s v="OPS06"/>
    <d v="2019-05-24T00:00:00"/>
    <n v="108119"/>
    <n v="57"/>
    <x v="2"/>
    <x v="3"/>
    <n v="7"/>
    <x v="0"/>
    <n v="2162.38"/>
  </r>
  <r>
    <s v="EMP088"/>
    <s v="John"/>
    <s v="Davis"/>
    <s v="John Davis"/>
    <s v="IT02"/>
    <d v="2020-02-26T00:00:00"/>
    <n v="82713.429999999993"/>
    <n v="96"/>
    <x v="0"/>
    <x v="0"/>
    <n v="6"/>
    <x v="4"/>
    <n v="9925.6115999999984"/>
  </r>
  <r>
    <s v="EMP075"/>
    <s v="Richard"/>
    <s v="Davis"/>
    <s v="Richard Davis"/>
    <s v="HR01"/>
    <d v="2023-03-06T00:00:00"/>
    <n v="106896"/>
    <n v="52"/>
    <x v="1"/>
    <x v="5"/>
    <n v="3"/>
    <x v="0"/>
    <n v="2137.92"/>
  </r>
  <r>
    <s v="EMP122"/>
    <m/>
    <s v="Jones"/>
    <s v=" Jones"/>
    <s v="IT02"/>
    <d v="2019-01-12T00:00:00"/>
    <n v="112887"/>
    <n v="59"/>
    <x v="0"/>
    <x v="0"/>
    <n v="7"/>
    <x v="0"/>
    <n v="2257.7400000000002"/>
  </r>
  <r>
    <s v="EMP021"/>
    <s v="William"/>
    <s v="Rodriguez"/>
    <s v="William Rodriguez"/>
    <s v="FIN03"/>
    <d v="2023-04-21T00:00:00"/>
    <n v="85457"/>
    <n v="79"/>
    <x v="0"/>
    <x v="2"/>
    <n v="3"/>
    <x v="1"/>
    <n v="4272.8500000000004"/>
  </r>
  <r>
    <s v="EMP072"/>
    <s v="Melissa"/>
    <s v="Miller"/>
    <s v="Melissa Miller"/>
    <s v="SAL05"/>
    <d v="2016-05-29T00:00:00"/>
    <n v="62798"/>
    <n v="30"/>
    <x v="0"/>
    <x v="4"/>
    <n v="10"/>
    <x v="2"/>
    <n v="0"/>
  </r>
  <r>
    <s v="EMP107"/>
    <s v="Emily"/>
    <s v="Martinez"/>
    <s v="Emily Martinez"/>
    <s v="OPS06"/>
    <d v="2022-05-30T00:00:00"/>
    <n v="47794"/>
    <n v="73"/>
    <x v="1"/>
    <x v="3"/>
    <n v="4"/>
    <x v="1"/>
    <n v="2389.7000000000003"/>
  </r>
  <r>
    <s v="EMP093"/>
    <s v="James"/>
    <s v="Rodriguez"/>
    <s v="James Rodriguez"/>
    <s v="MKT04"/>
    <d v="2003-11-16T00:00:00"/>
    <n v="93094"/>
    <n v="74"/>
    <x v="0"/>
    <x v="1"/>
    <n v="23"/>
    <x v="1"/>
    <n v="4654.7"/>
  </r>
  <r>
    <s v="EMP103"/>
    <s v="Amanda"/>
    <s v="Brown"/>
    <s v="Amanda Brown"/>
    <s v="IT02"/>
    <d v="2022-10-14T00:00:00"/>
    <n v="118634"/>
    <n v="91"/>
    <x v="0"/>
    <x v="0"/>
    <n v="4"/>
    <x v="3"/>
    <n v="9490.7199999999993"/>
  </r>
  <r>
    <m/>
    <m/>
    <m/>
    <m/>
    <m/>
    <m/>
    <m/>
    <m/>
    <x v="3"/>
    <x v="6"/>
    <m/>
    <x v="5"/>
    <m/>
  </r>
  <r>
    <m/>
    <m/>
    <m/>
    <m/>
    <m/>
    <m/>
    <m/>
    <m/>
    <x v="3"/>
    <x v="6"/>
    <m/>
    <x v="5"/>
    <m/>
  </r>
  <r>
    <m/>
    <m/>
    <m/>
    <m/>
    <m/>
    <m/>
    <m/>
    <m/>
    <x v="3"/>
    <x v="6"/>
    <m/>
    <x v="5"/>
    <m/>
  </r>
  <r>
    <m/>
    <m/>
    <m/>
    <m/>
    <m/>
    <m/>
    <m/>
    <m/>
    <x v="3"/>
    <x v="6"/>
    <m/>
    <x v="5"/>
    <m/>
  </r>
  <r>
    <m/>
    <m/>
    <m/>
    <m/>
    <m/>
    <m/>
    <m/>
    <m/>
    <x v="3"/>
    <x v="6"/>
    <m/>
    <x v="5"/>
    <m/>
  </r>
  <r>
    <m/>
    <m/>
    <m/>
    <m/>
    <m/>
    <m/>
    <m/>
    <m/>
    <x v="3"/>
    <x v="6"/>
    <m/>
    <x v="5"/>
    <m/>
  </r>
  <r>
    <m/>
    <m/>
    <m/>
    <m/>
    <m/>
    <m/>
    <m/>
    <m/>
    <x v="3"/>
    <x v="6"/>
    <m/>
    <x v="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Brown"/>
    <s v="IT02"/>
    <d v="2017-12-24T00:00:00"/>
    <s v="8 Years, 6 Months"/>
    <n v="50361"/>
    <n v="52"/>
    <x v="0"/>
    <x v="0"/>
    <x v="0"/>
    <n v="1007.22"/>
  </r>
  <r>
    <x v="1"/>
    <s v="Richard Hernandez"/>
    <s v="MKT04"/>
    <d v="2022-04-08T00:00:00"/>
    <s v="4 Years, 2 Months"/>
    <n v="112673"/>
    <n v="68"/>
    <x v="0"/>
    <x v="1"/>
    <x v="0"/>
    <n v="2253.46"/>
  </r>
  <r>
    <x v="2"/>
    <s v="Emily Gonzalez"/>
    <s v=" IT02 "/>
    <d v="2016-03-02T00:00:00"/>
    <s v="10 Years, 4 Months"/>
    <n v="114425"/>
    <n v="54"/>
    <x v="1"/>
    <x v="0"/>
    <x v="0"/>
    <n v="2288.5"/>
  </r>
  <r>
    <x v="3"/>
    <s v="John Martinez"/>
    <s v="FIN03"/>
    <d v="2023-07-03T00:00:00"/>
    <s v="3 Years, 0 Months"/>
    <n v="103831"/>
    <n v="70"/>
    <x v="0"/>
    <x v="2"/>
    <x v="1"/>
    <n v="5191.55"/>
  </r>
  <r>
    <x v="4"/>
    <s v="Thomas Smith"/>
    <s v="IT02"/>
    <d v="2023-02-20T00:00:00"/>
    <s v="3 Years, 4 Months"/>
    <n v="73785"/>
    <n v="40"/>
    <x v="1"/>
    <x v="0"/>
    <x v="2"/>
    <n v="0"/>
  </r>
  <r>
    <x v="5"/>
    <s v="Emily Johnson"/>
    <s v="OPS06"/>
    <d v="2020-03-02T00:00:00"/>
    <s v="6 Years, 4 Months"/>
    <n v="115882"/>
    <n v="49"/>
    <x v="0"/>
    <x v="3"/>
    <x v="2"/>
    <n v="0"/>
  </r>
  <r>
    <x v="6"/>
    <s v="John Wilson"/>
    <s v=" OPS06 "/>
    <d v="2023-12-12T00:00:00"/>
    <s v="2 Years, 6 Months"/>
    <n v="59980"/>
    <n v="70"/>
    <x v="1"/>
    <x v="3"/>
    <x v="1"/>
    <n v="2999"/>
  </r>
  <r>
    <x v="7"/>
    <s v="Jessica Smith"/>
    <s v=" OPS06 "/>
    <d v="2020-12-09T00:00:00"/>
    <s v="5 Years, 6 Months"/>
    <n v="68728"/>
    <n v="45"/>
    <x v="0"/>
    <x v="3"/>
    <x v="2"/>
    <n v="0"/>
  </r>
  <r>
    <x v="8"/>
    <s v=" Rodriguez"/>
    <s v="FIN03"/>
    <d v="2018-01-07T00:00:00"/>
    <s v="8 Years, 6 Months"/>
    <n v="102139"/>
    <n v="79"/>
    <x v="0"/>
    <x v="2"/>
    <x v="1"/>
    <n v="5106.9500000000007"/>
  </r>
  <r>
    <x v="9"/>
    <s v="Michael Martinez"/>
    <s v="SAL05"/>
    <d v="2016-11-02T00:00:00"/>
    <s v="9 Years, 8 Months"/>
    <n v="94998"/>
    <n v="58"/>
    <x v="0"/>
    <x v="4"/>
    <x v="0"/>
    <n v="1899.96"/>
  </r>
  <r>
    <x v="10"/>
    <s v="Emily Miller"/>
    <s v="SAL05"/>
    <d v="2020-03-21T00:00:00"/>
    <s v="6 Years, 3 Months"/>
    <n v="118635"/>
    <n v="49"/>
    <x v="0"/>
    <x v="4"/>
    <x v="2"/>
    <n v="0"/>
  </r>
  <r>
    <x v="11"/>
    <s v="Emily Hernandez"/>
    <s v="IT02"/>
    <d v="2016-02-25T00:00:00"/>
    <s v="10 Years, 4 Months"/>
    <n v="76918"/>
    <n v="62"/>
    <x v="0"/>
    <x v="0"/>
    <x v="0"/>
    <n v="1538.3600000000001"/>
  </r>
  <r>
    <x v="12"/>
    <s v="Jane Williams"/>
    <s v="MKT04"/>
    <d v="2021-06-17T00:00:00"/>
    <s v="5 Years, 0 Months"/>
    <n v="61408"/>
    <n v="48"/>
    <x v="0"/>
    <x v="1"/>
    <x v="2"/>
    <n v="0"/>
  </r>
  <r>
    <x v="13"/>
    <s v="Jane Miller"/>
    <s v="MKT04"/>
    <d v="2020-06-19T00:00:00"/>
    <s v="6 Years, 0 Months"/>
    <n v="99990"/>
    <n v="54"/>
    <x v="0"/>
    <x v="1"/>
    <x v="0"/>
    <n v="1999.8"/>
  </r>
  <r>
    <x v="14"/>
    <s v="Robert Jones"/>
    <s v=" MKT04 "/>
    <d v="2019-12-21T00:00:00"/>
    <s v="6 Years, 6 Months"/>
    <n v="80385"/>
    <n v="68"/>
    <x v="0"/>
    <x v="1"/>
    <x v="0"/>
    <n v="1607.7"/>
  </r>
  <r>
    <x v="15"/>
    <s v="Thomas Rodriguez"/>
    <s v="SAL05"/>
    <d v="2023-08-31T00:00:00"/>
    <s v="2 Years, 10 Months"/>
    <n v="65290"/>
    <n v="77"/>
    <x v="0"/>
    <x v="4"/>
    <x v="1"/>
    <n v="3264.5"/>
  </r>
  <r>
    <x v="16"/>
    <s v="Emily Davis"/>
    <s v="IT02"/>
    <d v="2015-11-29T00:00:00"/>
    <s v="10 Years, 7 Months"/>
    <n v="105765"/>
    <n v="42"/>
    <x v="0"/>
    <x v="0"/>
    <x v="2"/>
    <n v="0"/>
  </r>
  <r>
    <x v="17"/>
    <s v="James Martinez"/>
    <s v="SAL05"/>
    <d v="2017-06-13T00:00:00"/>
    <s v="9 Years, 0 Months"/>
    <n v="102921"/>
    <n v="49"/>
    <x v="0"/>
    <x v="4"/>
    <x v="2"/>
    <n v="0"/>
  </r>
  <r>
    <x v="18"/>
    <s v="Ashley Lopez"/>
    <s v="MKT04"/>
    <d v="2018-05-15T00:00:00"/>
    <s v="8 Years, 1 Months"/>
    <n v="73984"/>
    <n v="93"/>
    <x v="0"/>
    <x v="1"/>
    <x v="3"/>
    <n v="5918.72"/>
  </r>
  <r>
    <x v="19"/>
    <s v="Amanda Gonzalez"/>
    <s v="IT02"/>
    <d v="2016-07-24T00:00:00"/>
    <s v="9 Years, 11 Months"/>
    <n v="82713.429999999993"/>
    <n v="75"/>
    <x v="0"/>
    <x v="0"/>
    <x v="1"/>
    <n v="4135.6714999999995"/>
  </r>
  <r>
    <x v="20"/>
    <s v="Michael Hernandez"/>
    <s v="FIN03"/>
    <d v="2017-12-07T00:00:00"/>
    <s v="8 Years, 7 Months"/>
    <n v="118527"/>
    <n v="50"/>
    <x v="0"/>
    <x v="2"/>
    <x v="0"/>
    <n v="2370.54"/>
  </r>
  <r>
    <x v="21"/>
    <s v="Richard Hernandez"/>
    <s v="MKT04"/>
    <d v="2021-06-06T00:00:00"/>
    <s v="5 Years, 1 Months"/>
    <n v="107871"/>
    <n v="88"/>
    <x v="0"/>
    <x v="1"/>
    <x v="3"/>
    <n v="8629.68"/>
  </r>
  <r>
    <x v="22"/>
    <s v="Michael Rodriguez"/>
    <s v=" IT02 "/>
    <d v="2022-09-11T00:00:00"/>
    <s v="3 Years, 9 Months"/>
    <n v="93956"/>
    <n v="50"/>
    <x v="1"/>
    <x v="0"/>
    <x v="0"/>
    <n v="1879.1200000000001"/>
  </r>
  <r>
    <x v="23"/>
    <s v="Jessica Johnson"/>
    <s v=" FIN03 "/>
    <d v="2016-07-14T00:00:00"/>
    <s v="9 Years, 11 Months"/>
    <n v="100851"/>
    <n v="64"/>
    <x v="0"/>
    <x v="2"/>
    <x v="0"/>
    <n v="2017.02"/>
  </r>
  <r>
    <x v="24"/>
    <s v="Ashley Williams"/>
    <s v="SAL05"/>
    <d v="2022-06-16T00:00:00"/>
    <s v="4 Years, 0 Months"/>
    <n v="68655"/>
    <n v="32"/>
    <x v="0"/>
    <x v="4"/>
    <x v="2"/>
    <n v="0"/>
  </r>
  <r>
    <x v="25"/>
    <s v=" Williams"/>
    <s v=" SAL05 "/>
    <d v="2023-07-27T00:00:00"/>
    <s v="2 Years, 11 Months"/>
    <n v="81205"/>
    <n v="59"/>
    <x v="0"/>
    <x v="4"/>
    <x v="0"/>
    <n v="1624.1000000000001"/>
  </r>
  <r>
    <x v="26"/>
    <s v="John Wilson"/>
    <s v="SAL05"/>
    <d v="2019-09-24T00:00:00"/>
    <s v="6 Years, 9 Months"/>
    <n v="77610"/>
    <n v="88"/>
    <x v="0"/>
    <x v="4"/>
    <x v="3"/>
    <n v="6208.8"/>
  </r>
  <r>
    <x v="27"/>
    <s v="Thomas Rodriguez"/>
    <s v="IT02"/>
    <d v="2022-07-23T00:00:00"/>
    <s v="3 Years, 11 Months"/>
    <n v="50873"/>
    <n v="90"/>
    <x v="0"/>
    <x v="0"/>
    <x v="3"/>
    <n v="4069.84"/>
  </r>
  <r>
    <x v="28"/>
    <s v="Michael Wilson"/>
    <s v="FIN03"/>
    <d v="2018-05-13T00:00:00"/>
    <s v="8 Years, 1 Months"/>
    <n v="85312"/>
    <n v="66"/>
    <x v="0"/>
    <x v="2"/>
    <x v="0"/>
    <n v="1706.24"/>
  </r>
  <r>
    <x v="29"/>
    <s v="John Rodriguez"/>
    <s v="SAL05"/>
    <d v="2015-07-17T00:00:00"/>
    <s v="10 Years, 11 Months"/>
    <n v="82713.429999999993"/>
    <n v="68"/>
    <x v="0"/>
    <x v="4"/>
    <x v="0"/>
    <n v="1654.2685999999999"/>
  </r>
  <r>
    <x v="30"/>
    <s v="Thomas Hernandez"/>
    <s v="OPS06"/>
    <d v="2015-08-05T00:00:00"/>
    <s v="10 Years, 11 Months"/>
    <n v="97055"/>
    <n v="80"/>
    <x v="0"/>
    <x v="3"/>
    <x v="1"/>
    <n v="4852.75"/>
  </r>
  <r>
    <x v="31"/>
    <s v="Michael Johnson"/>
    <s v="IT02"/>
    <d v="2023-09-26T00:00:00"/>
    <s v="2 Years, 9 Months"/>
    <n v="66069"/>
    <n v="72"/>
    <x v="0"/>
    <x v="0"/>
    <x v="1"/>
    <n v="3303.4500000000003"/>
  </r>
  <r>
    <x v="32"/>
    <s v="Sarah Brown"/>
    <s v="IT02"/>
    <d v="2019-06-10T00:00:00"/>
    <s v="7 Years, 0 Months"/>
    <n v="90157"/>
    <n v="58"/>
    <x v="0"/>
    <x v="0"/>
    <x v="0"/>
    <n v="1803.14"/>
  </r>
  <r>
    <x v="33"/>
    <s v="Jane Martinez"/>
    <s v="HR01"/>
    <d v="2022-01-17T00:00:00"/>
    <s v="4 Years, 5 Months"/>
    <n v="59899"/>
    <n v="78"/>
    <x v="0"/>
    <x v="5"/>
    <x v="1"/>
    <n v="2994.9500000000003"/>
  </r>
  <r>
    <x v="34"/>
    <s v="Emily Jones"/>
    <s v=" FIN03 "/>
    <d v="2017-07-03T00:00:00"/>
    <s v="9 Years, 0 Months"/>
    <n v="113389"/>
    <n v="30"/>
    <x v="0"/>
    <x v="2"/>
    <x v="2"/>
    <n v="0"/>
  </r>
  <r>
    <x v="35"/>
    <s v=" Brown"/>
    <s v=" IT02 "/>
    <d v="2015-09-01T00:00:00"/>
    <s v="10 Years, 10 Months"/>
    <n v="102691"/>
    <n v="52"/>
    <x v="0"/>
    <x v="0"/>
    <x v="0"/>
    <n v="2053.8200000000002"/>
  </r>
  <r>
    <x v="36"/>
    <s v="John Wilson"/>
    <s v="OPS06"/>
    <d v="2022-08-03T00:00:00"/>
    <s v="3 Years, 11 Months"/>
    <n v="111845"/>
    <n v="98"/>
    <x v="0"/>
    <x v="3"/>
    <x v="4"/>
    <n v="13421.4"/>
  </r>
  <r>
    <x v="37"/>
    <s v="Melissa Brown"/>
    <s v=" SAL05 "/>
    <d v="2022-06-29T00:00:00"/>
    <s v="4 Years, 0 Months"/>
    <n v="69219"/>
    <n v="93"/>
    <x v="0"/>
    <x v="4"/>
    <x v="3"/>
    <n v="5537.52"/>
  </r>
  <r>
    <x v="38"/>
    <s v="Michael Smith"/>
    <s v="FIN03"/>
    <d v="2020-04-28T00:00:00"/>
    <s v="6 Years, 2 Months"/>
    <n v="82713.429999999993"/>
    <n v="80"/>
    <x v="1"/>
    <x v="2"/>
    <x v="1"/>
    <n v="4135.6714999999995"/>
  </r>
  <r>
    <x v="39"/>
    <s v="Sarah Miller"/>
    <s v="OPS06"/>
    <d v="2017-09-09T00:00:00"/>
    <s v="8 Years, 9 Months"/>
    <n v="57514"/>
    <n v="68"/>
    <x v="0"/>
    <x v="3"/>
    <x v="0"/>
    <n v="1150.28"/>
  </r>
  <r>
    <x v="40"/>
    <s v="Emily Wilson"/>
    <s v="SAL05"/>
    <d v="2018-03-22T00:00:00"/>
    <s v="8 Years, 3 Months"/>
    <n v="86245"/>
    <n v="71"/>
    <x v="1"/>
    <x v="4"/>
    <x v="1"/>
    <n v="4312.25"/>
  </r>
  <r>
    <x v="41"/>
    <s v="David Hernandez"/>
    <s v="SAL05"/>
    <d v="2020-05-07T00:00:00"/>
    <s v="6 Years, 2 Months"/>
    <n v="52407"/>
    <n v="55"/>
    <x v="0"/>
    <x v="4"/>
    <x v="0"/>
    <n v="1048.1400000000001"/>
  </r>
  <r>
    <x v="42"/>
    <s v="James Smith"/>
    <s v=" OPS06 "/>
    <d v="2019-03-25T00:00:00"/>
    <s v="7 Years, 3 Months"/>
    <n v="66606"/>
    <n v="93"/>
    <x v="2"/>
    <x v="3"/>
    <x v="3"/>
    <n v="5328.4800000000005"/>
  </r>
  <r>
    <x v="43"/>
    <s v="Sarah Williams"/>
    <s v="IT02"/>
    <d v="2019-08-09T00:00:00"/>
    <s v="6 Years, 10 Months"/>
    <n v="81896"/>
    <n v="79"/>
    <x v="2"/>
    <x v="0"/>
    <x v="1"/>
    <n v="4094.8"/>
  </r>
  <r>
    <x v="44"/>
    <s v="Amanda Lopez"/>
    <s v="SAL05"/>
    <d v="2016-07-14T00:00:00"/>
    <s v="9 Years, 11 Months"/>
    <n v="78402"/>
    <n v="54"/>
    <x v="0"/>
    <x v="4"/>
    <x v="0"/>
    <n v="1568.04"/>
  </r>
  <r>
    <x v="45"/>
    <s v="Thomas Lopez"/>
    <s v=" OPS06 "/>
    <d v="2016-10-04T00:00:00"/>
    <s v="9 Years, 9 Months"/>
    <n v="105498"/>
    <n v="76"/>
    <x v="0"/>
    <x v="3"/>
    <x v="1"/>
    <n v="5274.9000000000005"/>
  </r>
  <r>
    <x v="46"/>
    <s v="Melissa Johnson"/>
    <s v="MKT04"/>
    <d v="2019-07-10T00:00:00"/>
    <s v="6 Years, 11 Months"/>
    <n v="91749"/>
    <n v="72"/>
    <x v="1"/>
    <x v="1"/>
    <x v="1"/>
    <n v="4587.45"/>
  </r>
  <r>
    <x v="47"/>
    <s v="Amanda Johnson"/>
    <s v=" OPS06 "/>
    <d v="2021-08-29T00:00:00"/>
    <s v="4 Years, 10 Months"/>
    <n v="99935"/>
    <n v="84"/>
    <x v="2"/>
    <x v="3"/>
    <x v="1"/>
    <n v="4996.75"/>
  </r>
  <r>
    <x v="48"/>
    <s v="John Davis"/>
    <s v=" IT02 "/>
    <d v="2017-01-26T00:00:00"/>
    <s v="9 Years, 5 Months"/>
    <n v="83531"/>
    <n v="30"/>
    <x v="1"/>
    <x v="0"/>
    <x v="2"/>
    <n v="0"/>
  </r>
  <r>
    <x v="49"/>
    <s v="James Johnson"/>
    <s v="MKT04"/>
    <d v="2020-05-30T00:00:00"/>
    <s v="6 Years, 1 Months"/>
    <n v="75023"/>
    <n v="68"/>
    <x v="0"/>
    <x v="1"/>
    <x v="0"/>
    <n v="1500.46"/>
  </r>
  <r>
    <x v="50"/>
    <s v="Jane Davis"/>
    <s v="HR01"/>
    <d v="2022-02-20T00:00:00"/>
    <s v="4 Years, 4 Months"/>
    <n v="93290"/>
    <n v="53"/>
    <x v="0"/>
    <x v="5"/>
    <x v="0"/>
    <n v="1865.8"/>
  </r>
  <r>
    <x v="51"/>
    <s v="Richard Davis"/>
    <s v="OPS06"/>
    <d v="2016-09-15T00:00:00"/>
    <s v="9 Years, 9 Months"/>
    <n v="115527"/>
    <n v="63"/>
    <x v="2"/>
    <x v="3"/>
    <x v="0"/>
    <n v="2310.54"/>
  </r>
  <r>
    <x v="52"/>
    <s v="Thomas Rodriguez"/>
    <s v=" FIN03 "/>
    <d v="2019-10-07T00:00:00"/>
    <s v="6 Years, 9 Months"/>
    <n v="55920"/>
    <n v="84"/>
    <x v="0"/>
    <x v="2"/>
    <x v="1"/>
    <n v="2796"/>
  </r>
  <r>
    <x v="53"/>
    <s v="Emily Johnson"/>
    <s v="SAL05"/>
    <d v="2018-12-30T00:00:00"/>
    <s v="7 Years, 6 Months"/>
    <n v="80189"/>
    <n v="30"/>
    <x v="0"/>
    <x v="4"/>
    <x v="2"/>
    <n v="0"/>
  </r>
  <r>
    <x v="54"/>
    <s v="Emily Garcia"/>
    <s v="HR01"/>
    <d v="2020-12-24T00:00:00"/>
    <s v="5 Years, 6 Months"/>
    <n v="118947"/>
    <n v="96"/>
    <x v="0"/>
    <x v="5"/>
    <x v="4"/>
    <n v="14273.64"/>
  </r>
  <r>
    <x v="55"/>
    <s v="Jane Anderson"/>
    <s v="IT02"/>
    <d v="2023-07-05T00:00:00"/>
    <s v="3 Years, 0 Months"/>
    <n v="82713.429999999993"/>
    <n v="54"/>
    <x v="0"/>
    <x v="0"/>
    <x v="0"/>
    <n v="1654.2685999999999"/>
  </r>
  <r>
    <x v="56"/>
    <s v="Thomas Garcia"/>
    <s v=" OPS06 "/>
    <d v="2020-11-13T00:00:00"/>
    <s v="5 Years, 7 Months"/>
    <n v="82713.429999999993"/>
    <n v="75"/>
    <x v="0"/>
    <x v="3"/>
    <x v="1"/>
    <n v="4135.6714999999995"/>
  </r>
  <r>
    <x v="57"/>
    <s v="David Martinez"/>
    <s v="HR01"/>
    <d v="2018-02-07T00:00:00"/>
    <s v="8 Years, 5 Months"/>
    <n v="91655"/>
    <n v="95"/>
    <x v="0"/>
    <x v="5"/>
    <x v="4"/>
    <n v="10998.6"/>
  </r>
  <r>
    <x v="58"/>
    <s v="Emily Brown"/>
    <s v="IT02"/>
    <d v="2023-11-25T00:00:00"/>
    <s v="2 Years, 7 Months"/>
    <n v="49435"/>
    <n v="68"/>
    <x v="1"/>
    <x v="0"/>
    <x v="0"/>
    <n v="988.7"/>
  </r>
  <r>
    <x v="59"/>
    <s v="Emily Wilson"/>
    <s v="SAL05"/>
    <d v="2023-10-18T00:00:00"/>
    <s v="2 Years, 8 Months"/>
    <n v="110381"/>
    <n v="93"/>
    <x v="0"/>
    <x v="4"/>
    <x v="3"/>
    <n v="8830.48"/>
  </r>
  <r>
    <x v="60"/>
    <s v="Michael Anderson"/>
    <s v="HR01"/>
    <d v="2020-09-05T00:00:00"/>
    <s v="5 Years, 10 Months"/>
    <n v="114748"/>
    <n v="33"/>
    <x v="0"/>
    <x v="5"/>
    <x v="2"/>
    <n v="0"/>
  </r>
  <r>
    <x v="61"/>
    <s v="Robert Johnson"/>
    <s v="OPS06"/>
    <d v="2017-03-06T00:00:00"/>
    <s v="9 Years, 4 Months"/>
    <n v="63302"/>
    <n v="91"/>
    <x v="0"/>
    <x v="3"/>
    <x v="3"/>
    <n v="5064.16"/>
  </r>
  <r>
    <x v="62"/>
    <s v="Robert Miller"/>
    <s v="IT02"/>
    <d v="2015-04-28T00:00:00"/>
    <s v="11 Years, 2 Months"/>
    <n v="75519"/>
    <n v="64"/>
    <x v="0"/>
    <x v="0"/>
    <x v="0"/>
    <n v="1510.38"/>
  </r>
  <r>
    <x v="63"/>
    <s v="Jane Davis"/>
    <s v=" FIN03 "/>
    <d v="2017-04-13T00:00:00"/>
    <s v="9 Years, 2 Months"/>
    <n v="103891"/>
    <n v="80"/>
    <x v="0"/>
    <x v="2"/>
    <x v="1"/>
    <n v="5194.55"/>
  </r>
  <r>
    <x v="64"/>
    <s v="Thomas Davis"/>
    <s v="OPS06"/>
    <d v="2022-09-23T00:00:00"/>
    <s v="3 Years, 9 Months"/>
    <n v="82713.429999999993"/>
    <n v="46"/>
    <x v="1"/>
    <x v="3"/>
    <x v="2"/>
    <n v="0"/>
  </r>
  <r>
    <x v="65"/>
    <s v="Thomas Jones"/>
    <s v=" MKT04 "/>
    <d v="2016-11-11T00:00:00"/>
    <s v="9 Years, 7 Months"/>
    <n v="50936"/>
    <n v="99"/>
    <x v="0"/>
    <x v="1"/>
    <x v="4"/>
    <n v="6112.32"/>
  </r>
  <r>
    <x v="66"/>
    <s v="Michael Miller"/>
    <s v=" SAL05 "/>
    <d v="2017-03-24T00:00:00"/>
    <s v="9 Years, 3 Months"/>
    <n v="111240"/>
    <n v="68"/>
    <x v="0"/>
    <x v="4"/>
    <x v="0"/>
    <n v="2224.8000000000002"/>
  </r>
  <r>
    <x v="67"/>
    <s v="Richard Gonzalez"/>
    <s v="HR01"/>
    <d v="2019-05-05T00:00:00"/>
    <s v="7 Years, 2 Months"/>
    <n v="51567"/>
    <n v="87"/>
    <x v="2"/>
    <x v="5"/>
    <x v="3"/>
    <n v="4125.3599999999997"/>
  </r>
  <r>
    <x v="68"/>
    <s v="Melissa Williams"/>
    <s v=" HR01 "/>
    <d v="2021-07-25T00:00:00"/>
    <s v="4 Years, 11 Months"/>
    <n v="82713.429999999993"/>
    <n v="36"/>
    <x v="0"/>
    <x v="5"/>
    <x v="2"/>
    <n v="0"/>
  </r>
  <r>
    <x v="69"/>
    <s v="Robert Miller"/>
    <s v="HR01"/>
    <d v="2017-09-30T00:00:00"/>
    <s v="8 Years, 9 Months"/>
    <n v="55270"/>
    <n v="87"/>
    <x v="0"/>
    <x v="5"/>
    <x v="3"/>
    <n v="4421.6000000000004"/>
  </r>
  <r>
    <x v="70"/>
    <s v="William Garcia"/>
    <s v="SAL05"/>
    <d v="2015-07-07T00:00:00"/>
    <s v="11 Years, 0 Months"/>
    <n v="65235"/>
    <n v="97"/>
    <x v="0"/>
    <x v="4"/>
    <x v="4"/>
    <n v="7828.2"/>
  </r>
  <r>
    <x v="71"/>
    <s v="John Gonzalez"/>
    <s v="SAL05"/>
    <d v="2018-07-02T00:00:00"/>
    <s v="8 Years, 0 Months"/>
    <n v="82713.429999999993"/>
    <n v="72"/>
    <x v="1"/>
    <x v="4"/>
    <x v="1"/>
    <n v="4135.6714999999995"/>
  </r>
  <r>
    <x v="72"/>
    <s v="James Gonzalez"/>
    <s v="SAL05"/>
    <d v="2022-09-15T00:00:00"/>
    <s v="3 Years, 9 Months"/>
    <n v="82713.429999999993"/>
    <n v="65"/>
    <x v="1"/>
    <x v="4"/>
    <x v="0"/>
    <n v="1654.2685999999999"/>
  </r>
  <r>
    <x v="73"/>
    <s v="Jane Gonzalez"/>
    <s v=" SAL05 "/>
    <d v="2015-09-02T00:00:00"/>
    <s v="10 Years, 10 Months"/>
    <n v="82713.429999999993"/>
    <n v="67"/>
    <x v="0"/>
    <x v="4"/>
    <x v="0"/>
    <n v="1654.2685999999999"/>
  </r>
  <r>
    <x v="74"/>
    <s v="David Wilson"/>
    <s v="OPS06"/>
    <d v="2016-10-11T00:00:00"/>
    <s v="9 Years, 8 Months"/>
    <n v="48823"/>
    <n v="34"/>
    <x v="0"/>
    <x v="3"/>
    <x v="2"/>
    <n v="0"/>
  </r>
  <r>
    <x v="75"/>
    <s v="Jane Gonzalez"/>
    <s v=" FIN03 "/>
    <d v="2019-04-20T00:00:00"/>
    <s v="7 Years, 2 Months"/>
    <n v="45196"/>
    <n v="78"/>
    <x v="1"/>
    <x v="2"/>
    <x v="1"/>
    <n v="2259.8000000000002"/>
  </r>
  <r>
    <x v="76"/>
    <s v="Jane Rodriguez"/>
    <s v="IT02"/>
    <d v="2017-02-19T00:00:00"/>
    <s v="9 Years, 4 Months"/>
    <n v="86246"/>
    <n v="61"/>
    <x v="0"/>
    <x v="0"/>
    <x v="0"/>
    <n v="1724.92"/>
  </r>
  <r>
    <x v="77"/>
    <s v="Emily Miller"/>
    <s v="SAL05"/>
    <d v="2021-09-07T00:00:00"/>
    <s v="4 Years, 10 Months"/>
    <n v="70359"/>
    <n v="74"/>
    <x v="1"/>
    <x v="4"/>
    <x v="1"/>
    <n v="3517.9500000000003"/>
  </r>
  <r>
    <x v="78"/>
    <s v="Sarah Miller"/>
    <s v=" MKT04 "/>
    <d v="2019-05-14T00:00:00"/>
    <s v="7 Years, 1 Months"/>
    <n v="82713.429999999993"/>
    <n v="94"/>
    <x v="0"/>
    <x v="1"/>
    <x v="3"/>
    <n v="6617.0743999999995"/>
  </r>
  <r>
    <x v="79"/>
    <s v="Jessica Garcia"/>
    <s v=" OPS06 "/>
    <d v="2015-11-22T00:00:00"/>
    <s v="10 Years, 7 Months"/>
    <n v="86480"/>
    <n v="68"/>
    <x v="0"/>
    <x v="3"/>
    <x v="0"/>
    <n v="1729.6000000000001"/>
  </r>
  <r>
    <x v="80"/>
    <s v="Richard Smith"/>
    <s v="HR01"/>
    <d v="2018-09-29T00:00:00"/>
    <s v="7 Years, 9 Months"/>
    <n v="47694"/>
    <n v="75"/>
    <x v="0"/>
    <x v="5"/>
    <x v="1"/>
    <n v="2384.7000000000003"/>
  </r>
  <r>
    <x v="81"/>
    <s v="Melissa Wilson"/>
    <s v="IT02"/>
    <d v="2023-09-02T00:00:00"/>
    <s v="2 Years, 10 Months"/>
    <n v="83724"/>
    <n v="81"/>
    <x v="2"/>
    <x v="0"/>
    <x v="1"/>
    <n v="4186.2"/>
  </r>
  <r>
    <x v="82"/>
    <s v="Thomas Williams"/>
    <s v=" FIN03 "/>
    <d v="2022-07-17T00:00:00"/>
    <s v="3 Years, 11 Months"/>
    <n v="98299"/>
    <n v="61"/>
    <x v="0"/>
    <x v="2"/>
    <x v="0"/>
    <n v="1965.98"/>
  </r>
  <r>
    <x v="83"/>
    <s v="David Williams"/>
    <s v="FIN03"/>
    <d v="2021-02-07T00:00:00"/>
    <s v="5 Years, 5 Months"/>
    <n v="82713.429999999993"/>
    <n v="68"/>
    <x v="0"/>
    <x v="2"/>
    <x v="0"/>
    <n v="1654.2685999999999"/>
  </r>
  <r>
    <x v="84"/>
    <s v="John Johnson"/>
    <s v="IT02"/>
    <d v="2023-10-04T00:00:00"/>
    <s v="2 Years, 9 Months"/>
    <n v="52287"/>
    <n v="70"/>
    <x v="0"/>
    <x v="0"/>
    <x v="1"/>
    <n v="2614.3500000000004"/>
  </r>
  <r>
    <x v="85"/>
    <s v="Richard Gonzalez"/>
    <s v="IT02"/>
    <d v="2020-08-30T00:00:00"/>
    <s v="5 Years, 10 Months"/>
    <n v="82633"/>
    <n v="98"/>
    <x v="0"/>
    <x v="0"/>
    <x v="4"/>
    <n v="9915.9599999999991"/>
  </r>
  <r>
    <x v="86"/>
    <s v="Melissa Anderson"/>
    <s v=" OPS06 "/>
    <d v="2021-08-14T00:00:00"/>
    <s v="4 Years, 10 Months"/>
    <n v="46508"/>
    <n v="34"/>
    <x v="0"/>
    <x v="3"/>
    <x v="2"/>
    <n v="0"/>
  </r>
  <r>
    <x v="87"/>
    <s v="Emily Gonzalez"/>
    <s v="HR01"/>
    <d v="2019-11-27T00:00:00"/>
    <s v="6 Years, 7 Months"/>
    <n v="86232"/>
    <n v="93"/>
    <x v="0"/>
    <x v="5"/>
    <x v="3"/>
    <n v="6898.56"/>
  </r>
  <r>
    <x v="88"/>
    <s v="Jane Davis"/>
    <s v="IT02"/>
    <d v="2017-05-25T00:00:00"/>
    <s v="9 Years, 1 Months"/>
    <n v="77545"/>
    <n v="48"/>
    <x v="0"/>
    <x v="0"/>
    <x v="2"/>
    <n v="0"/>
  </r>
  <r>
    <x v="89"/>
    <s v="William Gonzalez"/>
    <s v=" OPS06 "/>
    <d v="2018-12-02T00:00:00"/>
    <s v="7 Years, 7 Months"/>
    <n v="68683"/>
    <n v="90"/>
    <x v="0"/>
    <x v="3"/>
    <x v="3"/>
    <n v="5494.64"/>
  </r>
  <r>
    <x v="90"/>
    <s v="Thomas Jones"/>
    <s v="FIN03"/>
    <d v="2019-06-23T00:00:00"/>
    <s v="7 Years, 0 Months"/>
    <n v="83932"/>
    <n v="57"/>
    <x v="1"/>
    <x v="2"/>
    <x v="0"/>
    <n v="1678.64"/>
  </r>
  <r>
    <x v="91"/>
    <s v="Jessica Anderson"/>
    <s v="HR01"/>
    <d v="2015-10-27T00:00:00"/>
    <s v="10 Years, 8 Months"/>
    <n v="56073"/>
    <n v="79"/>
    <x v="0"/>
    <x v="5"/>
    <x v="1"/>
    <n v="2803.65"/>
  </r>
  <r>
    <x v="92"/>
    <s v="Melissa Johnson"/>
    <s v=" IT02 "/>
    <d v="2018-06-19T00:00:00"/>
    <s v="8 Years, 0 Months"/>
    <n v="88056"/>
    <n v="66"/>
    <x v="0"/>
    <x v="0"/>
    <x v="0"/>
    <n v="1761.1200000000001"/>
  </r>
  <r>
    <x v="93"/>
    <s v="Thomas Miller"/>
    <s v="OPS06"/>
    <d v="2018-01-12T00:00:00"/>
    <s v="8 Years, 5 Months"/>
    <n v="67414"/>
    <n v="84"/>
    <x v="1"/>
    <x v="3"/>
    <x v="1"/>
    <n v="3370.7000000000003"/>
  </r>
  <r>
    <x v="94"/>
    <s v="William Gonzalez"/>
    <s v="SAL05"/>
    <d v="2015-01-04T00:00:00"/>
    <s v="11 Years, 6 Months"/>
    <s v="$115,288"/>
    <n v="61"/>
    <x v="0"/>
    <x v="4"/>
    <x v="0"/>
    <n v="2305.7600000000002"/>
  </r>
  <r>
    <x v="95"/>
    <s v=" Smith"/>
    <s v="SAL05"/>
    <d v="2018-12-05T00:00:00"/>
    <s v="7 Years, 7 Months"/>
    <n v="80140"/>
    <n v="58"/>
    <x v="0"/>
    <x v="4"/>
    <x v="0"/>
    <n v="1602.8"/>
  </r>
  <r>
    <x v="96"/>
    <s v="John Johnson"/>
    <s v="IT02"/>
    <d v="2021-10-13T00:00:00"/>
    <s v="4 Years, 8 Months"/>
    <n v="73087"/>
    <n v="69"/>
    <x v="0"/>
    <x v="0"/>
    <x v="0"/>
    <n v="1461.74"/>
  </r>
  <r>
    <x v="97"/>
    <s v="Jane Johnson"/>
    <s v=" SAL05 "/>
    <d v="2020-09-07T00:00:00"/>
    <s v="5 Years, 10 Months"/>
    <n v="95292"/>
    <n v="34"/>
    <x v="0"/>
    <x v="4"/>
    <x v="2"/>
    <n v="0"/>
  </r>
  <r>
    <x v="98"/>
    <s v="John Jones"/>
    <s v=" IT02 "/>
    <d v="2019-03-08T00:00:00"/>
    <s v="7 Years, 3 Months"/>
    <n v="82713.429999999993"/>
    <n v="33"/>
    <x v="0"/>
    <x v="0"/>
    <x v="2"/>
    <n v="0"/>
  </r>
  <r>
    <x v="99"/>
    <s v="Jane Lopez"/>
    <s v="MKT04"/>
    <d v="2015-03-11T00:00:00"/>
    <s v="11 Years, 3 Months"/>
    <n v="101750"/>
    <n v="84"/>
    <x v="1"/>
    <x v="1"/>
    <x v="1"/>
    <n v="5087.5"/>
  </r>
  <r>
    <x v="100"/>
    <s v="Melissa Gonzalez"/>
    <s v="MKT04"/>
    <d v="2017-02-19T00:00:00"/>
    <s v="9 Years, 4 Months"/>
    <n v="82992"/>
    <n v="79"/>
    <x v="0"/>
    <x v="1"/>
    <x v="1"/>
    <n v="4149.6000000000004"/>
  </r>
  <r>
    <x v="101"/>
    <s v="William Davis"/>
    <s v="IT02"/>
    <d v="2023-05-09T00:00:00"/>
    <s v="3 Years, 1 Months"/>
    <n v="49942"/>
    <n v="51"/>
    <x v="0"/>
    <x v="0"/>
    <x v="0"/>
    <n v="998.84"/>
  </r>
  <r>
    <x v="102"/>
    <s v="John Smith"/>
    <s v=" OPS06 "/>
    <d v="2018-01-22T00:00:00"/>
    <s v="8 Years, 5 Months"/>
    <n v="89060"/>
    <n v="58"/>
    <x v="0"/>
    <x v="3"/>
    <x v="0"/>
    <n v="1781.2"/>
  </r>
  <r>
    <x v="103"/>
    <s v="James Gonzalez"/>
    <s v="IT02"/>
    <d v="2020-02-18T00:00:00"/>
    <s v="6 Years, 4 Months"/>
    <n v="53786"/>
    <n v="98"/>
    <x v="0"/>
    <x v="0"/>
    <x v="4"/>
    <n v="6454.32"/>
  </r>
  <r>
    <x v="104"/>
    <s v="Emily Johnson"/>
    <s v="OPS06"/>
    <d v="2016-05-22T00:00:00"/>
    <s v="10 Years, 1 Months"/>
    <n v="81167"/>
    <n v="68"/>
    <x v="0"/>
    <x v="3"/>
    <x v="0"/>
    <n v="1623.3400000000001"/>
  </r>
  <r>
    <x v="105"/>
    <s v="William Williams"/>
    <s v="MKT04"/>
    <d v="2021-06-02T00:00:00"/>
    <s v="5 Years, 1 Months"/>
    <n v="66688"/>
    <n v="40"/>
    <x v="1"/>
    <x v="1"/>
    <x v="2"/>
    <n v="0"/>
  </r>
  <r>
    <x v="106"/>
    <s v="James Jones"/>
    <s v="IT02"/>
    <d v="2021-07-17T00:00:00"/>
    <s v="4 Years, 11 Months"/>
    <n v="91672"/>
    <n v="88"/>
    <x v="0"/>
    <x v="0"/>
    <x v="3"/>
    <n v="7333.76"/>
  </r>
  <r>
    <x v="107"/>
    <s v="Jessica Gonzalez"/>
    <s v=" HR01 "/>
    <d v="2016-11-13T00:00:00"/>
    <s v="9 Years, 7 Months"/>
    <n v="77737"/>
    <n v="77"/>
    <x v="0"/>
    <x v="5"/>
    <x v="1"/>
    <n v="3886.8500000000004"/>
  </r>
  <r>
    <x v="108"/>
    <s v="Sarah Miller"/>
    <s v=" SAL05 "/>
    <d v="2019-02-17T00:00:00"/>
    <s v="7 Years, 4 Months"/>
    <n v="95686"/>
    <n v="91"/>
    <x v="0"/>
    <x v="4"/>
    <x v="3"/>
    <n v="7654.88"/>
  </r>
  <r>
    <x v="109"/>
    <s v="Jessica Smith"/>
    <s v="SAL05"/>
    <d v="2016-09-12T00:00:00"/>
    <s v="9 Years, 9 Months"/>
    <n v="114681"/>
    <n v="36"/>
    <x v="0"/>
    <x v="4"/>
    <x v="2"/>
    <n v="0"/>
  </r>
  <r>
    <x v="110"/>
    <s v="Thomas Jones"/>
    <s v=" OPS06 "/>
    <d v="2021-08-13T00:00:00"/>
    <s v="4 Years, 10 Months"/>
    <n v="109121"/>
    <n v="72"/>
    <x v="0"/>
    <x v="3"/>
    <x v="1"/>
    <n v="5456.05"/>
  </r>
  <r>
    <x v="111"/>
    <s v="Amanda Brown"/>
    <s v="MKT04"/>
    <d v="2020-06-14T00:00:00"/>
    <s v="6 Years, 0 Months"/>
    <n v="112791"/>
    <n v="87"/>
    <x v="0"/>
    <x v="1"/>
    <x v="3"/>
    <n v="9023.2800000000007"/>
  </r>
  <r>
    <x v="112"/>
    <s v="Robert Martinez"/>
    <s v=" IT02 "/>
    <d v="2022-07-05T00:00:00"/>
    <s v="4 Years, 0 Months"/>
    <n v="118008"/>
    <n v="71"/>
    <x v="0"/>
    <x v="0"/>
    <x v="1"/>
    <n v="5900.4000000000005"/>
  </r>
  <r>
    <x v="113"/>
    <s v="Thomas Miller"/>
    <s v="IT02"/>
    <d v="2016-07-10T00:00:00"/>
    <s v="9 Years, 11 Months"/>
    <n v="74370"/>
    <n v="82"/>
    <x v="0"/>
    <x v="0"/>
    <x v="1"/>
    <n v="3718.5"/>
  </r>
  <r>
    <x v="114"/>
    <s v="David Rodriguez"/>
    <s v=" IT02 "/>
    <d v="2022-04-23T00:00:00"/>
    <s v="4 Years, 2 Months"/>
    <n v="77819"/>
    <n v="79"/>
    <x v="0"/>
    <x v="0"/>
    <x v="1"/>
    <n v="3890.9500000000003"/>
  </r>
  <r>
    <x v="115"/>
    <s v="Jane Miller"/>
    <s v=" MKT04 "/>
    <d v="2017-05-10T00:00:00"/>
    <s v="9 Years, 1 Months"/>
    <n v="48748"/>
    <n v="83"/>
    <x v="0"/>
    <x v="1"/>
    <x v="1"/>
    <n v="2437.4"/>
  </r>
  <r>
    <x v="116"/>
    <s v="James Rodriguez"/>
    <s v="OPS06"/>
    <d v="2020-05-20T00:00:00"/>
    <s v="6 Years, 1 Months"/>
    <n v="101997"/>
    <n v="38"/>
    <x v="2"/>
    <x v="3"/>
    <x v="2"/>
    <n v="0"/>
  </r>
  <r>
    <x v="117"/>
    <s v="Sarah Rodriguez"/>
    <s v="HR01"/>
    <d v="2023-04-20T00:00:00"/>
    <s v="3 Years, 2 Months"/>
    <n v="115260"/>
    <n v="77"/>
    <x v="0"/>
    <x v="5"/>
    <x v="1"/>
    <n v="5763"/>
  </r>
  <r>
    <x v="118"/>
    <s v="Sarah Wilson"/>
    <s v="SAL05"/>
    <d v="2021-10-31T00:00:00"/>
    <s v="4 Years, 8 Months"/>
    <n v="82713.429999999993"/>
    <n v="49"/>
    <x v="0"/>
    <x v="4"/>
    <x v="2"/>
    <n v="0"/>
  </r>
  <r>
    <x v="119"/>
    <s v="Melissa Brown"/>
    <s v=" IT02 "/>
    <d v="2021-10-24T00:00:00"/>
    <s v="4 Years, 8 Months"/>
    <n v="82713.429999999993"/>
    <n v="69"/>
    <x v="1"/>
    <x v="0"/>
    <x v="0"/>
    <n v="1654.2685999999999"/>
  </r>
  <r>
    <x v="120"/>
    <s v="Robert Williams"/>
    <s v="SAL05"/>
    <d v="2017-08-09T00:00:00"/>
    <s v="8 Years, 10 Months"/>
    <n v="82713.429999999993"/>
    <n v="76"/>
    <x v="0"/>
    <x v="4"/>
    <x v="1"/>
    <n v="4135.6714999999995"/>
  </r>
  <r>
    <x v="121"/>
    <s v="Melissa Rodriguez"/>
    <s v="OPS06"/>
    <d v="2023-01-04T00:00:00"/>
    <s v="3 Years, 6 Months"/>
    <n v="60623"/>
    <n v="78"/>
    <x v="0"/>
    <x v="3"/>
    <x v="1"/>
    <n v="3031.15"/>
  </r>
  <r>
    <x v="122"/>
    <s v="James Johnson"/>
    <s v=" HR01 "/>
    <d v="2020-08-10T00:00:00"/>
    <s v="5 Years, 10 Months"/>
    <n v="68092"/>
    <n v="93"/>
    <x v="0"/>
    <x v="5"/>
    <x v="3"/>
    <n v="5447.36"/>
  </r>
  <r>
    <x v="123"/>
    <s v="Michael Wilson"/>
    <s v="MKT04"/>
    <d v="2022-04-02T00:00:00"/>
    <s v="4 Years, 3 Months"/>
    <n v="88155"/>
    <n v="68"/>
    <x v="0"/>
    <x v="1"/>
    <x v="0"/>
    <n v="1763.1000000000001"/>
  </r>
  <r>
    <x v="124"/>
    <s v="William Jones"/>
    <s v="MKT04"/>
    <d v="2018-03-24T00:00:00"/>
    <s v="8 Years, 3 Months"/>
    <n v="107903"/>
    <n v="42"/>
    <x v="0"/>
    <x v="1"/>
    <x v="2"/>
    <n v="0"/>
  </r>
  <r>
    <x v="125"/>
    <s v="William Williams"/>
    <s v="IT02"/>
    <d v="2018-07-24T00:00:00"/>
    <s v="7 Years, 11 Months"/>
    <n v="62818"/>
    <n v="34"/>
    <x v="0"/>
    <x v="0"/>
    <x v="2"/>
    <n v="0"/>
  </r>
  <r>
    <x v="126"/>
    <s v="David Williams"/>
    <s v=" HR01 "/>
    <d v="2018-07-20T00:00:00"/>
    <s v="7 Years, 11 Months"/>
    <n v="85151"/>
    <n v="35"/>
    <x v="0"/>
    <x v="5"/>
    <x v="2"/>
    <n v="0"/>
  </r>
  <r>
    <x v="127"/>
    <s v="Jane Davis"/>
    <s v=" FIN03 "/>
    <d v="2016-03-04T00:00:00"/>
    <s v="10 Years, 4 Months"/>
    <n v="46390"/>
    <n v="95"/>
    <x v="0"/>
    <x v="2"/>
    <x v="4"/>
    <n v="5566.8"/>
  </r>
  <r>
    <x v="128"/>
    <s v="John Martinez"/>
    <s v=" HR01 "/>
    <d v="2022-03-23T00:00:00"/>
    <s v="4 Years, 3 Months"/>
    <n v="111920"/>
    <n v="90"/>
    <x v="1"/>
    <x v="5"/>
    <x v="3"/>
    <n v="8953.6"/>
  </r>
  <r>
    <x v="129"/>
    <s v="David Anderson"/>
    <s v="HR01"/>
    <d v="2017-07-28T00:00:00"/>
    <s v="8 Years, 11 Months"/>
    <n v="115618"/>
    <n v="42"/>
    <x v="0"/>
    <x v="5"/>
    <x v="2"/>
    <n v="0"/>
  </r>
  <r>
    <x v="130"/>
    <s v="Sarah Smith"/>
    <s v="SAL05"/>
    <d v="2023-05-11T00:00:00"/>
    <s v="3 Years, 1 Months"/>
    <n v="110618"/>
    <n v="88"/>
    <x v="2"/>
    <x v="4"/>
    <x v="3"/>
    <n v="8849.44"/>
  </r>
  <r>
    <x v="131"/>
    <s v="Melissa Hernandez"/>
    <s v=" OPS06 "/>
    <d v="2022-03-19T00:00:00"/>
    <s v="4 Years, 3 Months"/>
    <n v="108395"/>
    <n v="78"/>
    <x v="1"/>
    <x v="3"/>
    <x v="1"/>
    <n v="5419.75"/>
  </r>
  <r>
    <x v="132"/>
    <s v="Melissa Johnson"/>
    <s v="FIN03"/>
    <d v="2017-12-22T00:00:00"/>
    <s v="8 Years, 6 Months"/>
    <n v="88005"/>
    <n v="69"/>
    <x v="0"/>
    <x v="2"/>
    <x v="0"/>
    <n v="1760.1000000000001"/>
  </r>
  <r>
    <x v="133"/>
    <s v="Jane Garcia"/>
    <s v=" MKT04 "/>
    <d v="2021-08-29T00:00:00"/>
    <s v="4 Years, 10 Months"/>
    <n v="83007"/>
    <n v="82"/>
    <x v="0"/>
    <x v="1"/>
    <x v="1"/>
    <n v="4150.3500000000004"/>
  </r>
  <r>
    <x v="134"/>
    <s v="David Davis"/>
    <s v="IT02"/>
    <d v="2018-09-17T00:00:00"/>
    <s v="7 Years, 9 Months"/>
    <n v="61547"/>
    <n v="68"/>
    <x v="0"/>
    <x v="0"/>
    <x v="0"/>
    <n v="1230.94"/>
  </r>
  <r>
    <x v="135"/>
    <s v="James Wilson"/>
    <s v="SAL05"/>
    <d v="2021-06-28T00:00:00"/>
    <s v="5 Years, 0 Months"/>
    <n v="82713.429999999993"/>
    <n v="52"/>
    <x v="0"/>
    <x v="4"/>
    <x v="0"/>
    <n v="1654.2685999999999"/>
  </r>
  <r>
    <x v="136"/>
    <s v="Richard Johnson"/>
    <s v="OPS06"/>
    <d v="2017-10-03T00:00:00"/>
    <s v="8 Years, 9 Months"/>
    <n v="50399"/>
    <n v="92"/>
    <x v="1"/>
    <x v="3"/>
    <x v="3"/>
    <n v="4031.92"/>
  </r>
  <r>
    <x v="137"/>
    <s v="Richard Williams"/>
    <s v="FIN03"/>
    <d v="2015-10-22T00:00:00"/>
    <s v="10 Years, 8 Months"/>
    <n v="82713.429999999993"/>
    <n v="62"/>
    <x v="0"/>
    <x v="2"/>
    <x v="0"/>
    <n v="1654.2685999999999"/>
  </r>
  <r>
    <x v="138"/>
    <s v="John Hernandez"/>
    <s v="OPS06"/>
    <d v="2018-06-06T00:00:00"/>
    <s v="8 Years, 1 Months"/>
    <n v="52720"/>
    <n v="68"/>
    <x v="0"/>
    <x v="3"/>
    <x v="0"/>
    <n v="1054.4000000000001"/>
  </r>
  <r>
    <x v="139"/>
    <s v="Sarah Gonzalez"/>
    <s v="OPS06"/>
    <d v="2017-07-16T00:00:00"/>
    <s v="8 Years, 11 Months"/>
    <n v="65065"/>
    <n v="98"/>
    <x v="0"/>
    <x v="3"/>
    <x v="4"/>
    <n v="7807.7999999999993"/>
  </r>
  <r>
    <x v="140"/>
    <s v="Melissa Hernandez"/>
    <s v="SAL05"/>
    <d v="2015-06-20T00:00:00"/>
    <s v="11 Years, 0 Months"/>
    <n v="82713.429999999993"/>
    <n v="94"/>
    <x v="2"/>
    <x v="4"/>
    <x v="3"/>
    <n v="6617.0743999999995"/>
  </r>
  <r>
    <x v="141"/>
    <s v="Melissa Hernandez"/>
    <s v=" OPS06 "/>
    <d v="2019-05-24T00:00:00"/>
    <s v="7 Years, 1 Months"/>
    <n v="108119"/>
    <n v="57"/>
    <x v="2"/>
    <x v="3"/>
    <x v="0"/>
    <n v="2162.38"/>
  </r>
  <r>
    <x v="142"/>
    <s v="John Davis"/>
    <s v="IT02"/>
    <d v="2020-02-26T00:00:00"/>
    <s v="6 Years, 4 Months"/>
    <n v="82713.429999999993"/>
    <n v="96"/>
    <x v="0"/>
    <x v="0"/>
    <x v="4"/>
    <n v="9925.6115999999984"/>
  </r>
  <r>
    <x v="143"/>
    <s v="Richard Davis"/>
    <s v="HR01"/>
    <d v="2023-03-06T00:00:00"/>
    <s v="3 Years, 4 Months"/>
    <n v="106896"/>
    <n v="52"/>
    <x v="1"/>
    <x v="5"/>
    <x v="0"/>
    <n v="2137.92"/>
  </r>
  <r>
    <x v="144"/>
    <s v=" Jones"/>
    <s v=" IT02 "/>
    <d v="2019-01-12T00:00:00"/>
    <s v="7 Years, 5 Months"/>
    <n v="112887"/>
    <n v="59"/>
    <x v="0"/>
    <x v="0"/>
    <x v="0"/>
    <n v="2257.7400000000002"/>
  </r>
  <r>
    <x v="145"/>
    <s v="William Rodriguez"/>
    <s v="FIN03"/>
    <d v="2023-04-21T00:00:00"/>
    <s v="3 Years, 2 Months"/>
    <n v="85457"/>
    <n v="79"/>
    <x v="0"/>
    <x v="2"/>
    <x v="1"/>
    <n v="4272.8500000000004"/>
  </r>
  <r>
    <x v="146"/>
    <s v="Melissa Miller"/>
    <s v="SAL05"/>
    <d v="2016-05-29T00:00:00"/>
    <s v="10 Years, 1 Months"/>
    <n v="62798"/>
    <n v="30"/>
    <x v="0"/>
    <x v="4"/>
    <x v="2"/>
    <n v="0"/>
  </r>
  <r>
    <x v="147"/>
    <s v="Emily Martinez"/>
    <s v="OPS06"/>
    <d v="2022-05-30T00:00:00"/>
    <s v="4 Years, 1 Months"/>
    <n v="47794"/>
    <n v="73"/>
    <x v="1"/>
    <x v="3"/>
    <x v="1"/>
    <n v="2389.7000000000003"/>
  </r>
  <r>
    <x v="148"/>
    <s v="James Rodriguez"/>
    <s v="MKT04"/>
    <d v="2016-11-03T00:00:00"/>
    <s v="9 Years, 8 Months"/>
    <n v="93094"/>
    <n v="74"/>
    <x v="0"/>
    <x v="1"/>
    <x v="1"/>
    <n v="4654.7"/>
  </r>
  <r>
    <x v="149"/>
    <s v="Amanda Brown"/>
    <s v="IT02"/>
    <d v="2022-10-14T00:00:00"/>
    <s v="3 Years, 8 Months"/>
    <n v="118634"/>
    <n v="91"/>
    <x v="0"/>
    <x v="0"/>
    <x v="3"/>
    <n v="9490.719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Brown"/>
    <s v="IT02"/>
    <d v="2017-12-24T00:00:00"/>
    <x v="0"/>
    <n v="50361"/>
    <n v="52"/>
    <x v="0"/>
    <x v="0"/>
    <x v="0"/>
    <n v="1007.22"/>
    <x v="0"/>
  </r>
  <r>
    <x v="1"/>
    <s v="Richard Hernandez"/>
    <s v="MKT04"/>
    <d v="2022-04-08T00:00:00"/>
    <x v="1"/>
    <n v="112673"/>
    <n v="68"/>
    <x v="0"/>
    <x v="1"/>
    <x v="0"/>
    <n v="2253.46"/>
    <x v="0"/>
  </r>
  <r>
    <x v="2"/>
    <s v="Emily Gonzalez"/>
    <s v=" IT02 "/>
    <d v="2016-03-02T00:00:00"/>
    <x v="2"/>
    <n v="114425"/>
    <n v="54"/>
    <x v="1"/>
    <x v="0"/>
    <x v="0"/>
    <n v="2288.5"/>
    <x v="1"/>
  </r>
  <r>
    <x v="3"/>
    <s v="John Martinez"/>
    <s v="FIN03"/>
    <d v="2023-07-03T00:00:00"/>
    <x v="3"/>
    <n v="103831"/>
    <n v="70"/>
    <x v="0"/>
    <x v="2"/>
    <x v="1"/>
    <n v="5191.55"/>
    <x v="0"/>
  </r>
  <r>
    <x v="4"/>
    <s v="Thomas Smith"/>
    <s v="IT02"/>
    <d v="2023-02-20T00:00:00"/>
    <x v="4"/>
    <n v="73785"/>
    <n v="40"/>
    <x v="1"/>
    <x v="0"/>
    <x v="2"/>
    <n v="0"/>
    <x v="1"/>
  </r>
  <r>
    <x v="5"/>
    <s v="Emily Johnson"/>
    <s v="OPS06"/>
    <d v="2020-03-02T00:00:00"/>
    <x v="5"/>
    <n v="115882"/>
    <n v="49"/>
    <x v="0"/>
    <x v="3"/>
    <x v="2"/>
    <n v="0"/>
    <x v="0"/>
  </r>
  <r>
    <x v="6"/>
    <s v="John Wilson"/>
    <s v=" OPS06 "/>
    <d v="2023-12-12T00:00:00"/>
    <x v="6"/>
    <n v="59980"/>
    <n v="70"/>
    <x v="1"/>
    <x v="3"/>
    <x v="1"/>
    <n v="2999"/>
    <x v="1"/>
  </r>
  <r>
    <x v="7"/>
    <s v="Jessica Smith"/>
    <s v=" OPS06 "/>
    <d v="2020-12-09T00:00:00"/>
    <x v="7"/>
    <n v="68728"/>
    <n v="45"/>
    <x v="0"/>
    <x v="3"/>
    <x v="2"/>
    <n v="0"/>
    <x v="0"/>
  </r>
  <r>
    <x v="8"/>
    <s v=" Rodriguez"/>
    <s v="FIN03"/>
    <d v="2018-01-07T00:00:00"/>
    <x v="0"/>
    <n v="102139"/>
    <n v="79"/>
    <x v="0"/>
    <x v="2"/>
    <x v="1"/>
    <n v="5106.9500000000007"/>
    <x v="0"/>
  </r>
  <r>
    <x v="9"/>
    <s v="Michael Martinez"/>
    <s v="SAL05"/>
    <d v="2016-11-02T00:00:00"/>
    <x v="8"/>
    <n v="94998"/>
    <n v="58"/>
    <x v="0"/>
    <x v="4"/>
    <x v="0"/>
    <n v="1899.96"/>
    <x v="0"/>
  </r>
  <r>
    <x v="10"/>
    <s v="Emily Miller"/>
    <s v="SAL05"/>
    <d v="2020-03-21T00:00:00"/>
    <x v="9"/>
    <n v="118635"/>
    <n v="49"/>
    <x v="0"/>
    <x v="4"/>
    <x v="2"/>
    <n v="0"/>
    <x v="0"/>
  </r>
  <r>
    <x v="11"/>
    <s v="Emily Hernandez"/>
    <s v="IT02"/>
    <d v="2016-02-25T00:00:00"/>
    <x v="2"/>
    <n v="76918"/>
    <n v="62"/>
    <x v="0"/>
    <x v="0"/>
    <x v="0"/>
    <n v="1538.3600000000001"/>
    <x v="0"/>
  </r>
  <r>
    <x v="12"/>
    <s v="Jane Williams"/>
    <s v="MKT04"/>
    <d v="2021-06-17T00:00:00"/>
    <x v="10"/>
    <n v="61408"/>
    <n v="48"/>
    <x v="0"/>
    <x v="1"/>
    <x v="2"/>
    <n v="0"/>
    <x v="0"/>
  </r>
  <r>
    <x v="13"/>
    <s v="Jane Miller"/>
    <s v="MKT04"/>
    <d v="2020-06-19T00:00:00"/>
    <x v="11"/>
    <n v="99990"/>
    <n v="54"/>
    <x v="0"/>
    <x v="1"/>
    <x v="0"/>
    <n v="1999.8"/>
    <x v="0"/>
  </r>
  <r>
    <x v="14"/>
    <s v="Robert Jones"/>
    <s v=" MKT04 "/>
    <d v="2019-12-21T00:00:00"/>
    <x v="12"/>
    <n v="80385"/>
    <n v="68"/>
    <x v="0"/>
    <x v="1"/>
    <x v="0"/>
    <n v="1607.7"/>
    <x v="0"/>
  </r>
  <r>
    <x v="15"/>
    <s v="Thomas Rodriguez"/>
    <s v="SAL05"/>
    <d v="2023-08-31T00:00:00"/>
    <x v="13"/>
    <n v="65290"/>
    <n v="77"/>
    <x v="0"/>
    <x v="4"/>
    <x v="1"/>
    <n v="3264.5"/>
    <x v="0"/>
  </r>
  <r>
    <x v="16"/>
    <s v="Emily Davis"/>
    <s v="IT02"/>
    <d v="2015-11-29T00:00:00"/>
    <x v="14"/>
    <n v="105765"/>
    <n v="42"/>
    <x v="0"/>
    <x v="0"/>
    <x v="2"/>
    <n v="0"/>
    <x v="0"/>
  </r>
  <r>
    <x v="17"/>
    <s v="James Martinez"/>
    <s v="SAL05"/>
    <d v="2017-06-13T00:00:00"/>
    <x v="15"/>
    <n v="102921"/>
    <n v="49"/>
    <x v="0"/>
    <x v="4"/>
    <x v="2"/>
    <n v="0"/>
    <x v="0"/>
  </r>
  <r>
    <x v="18"/>
    <s v="Ashley Lopez"/>
    <s v="MKT04"/>
    <d v="2018-05-15T00:00:00"/>
    <x v="16"/>
    <n v="73984"/>
    <n v="93"/>
    <x v="0"/>
    <x v="1"/>
    <x v="3"/>
    <n v="5918.72"/>
    <x v="0"/>
  </r>
  <r>
    <x v="19"/>
    <s v="Amanda Gonzalez"/>
    <s v="IT02"/>
    <d v="2016-07-24T00:00:00"/>
    <x v="17"/>
    <n v="82713.429999999993"/>
    <n v="75"/>
    <x v="0"/>
    <x v="0"/>
    <x v="1"/>
    <n v="4135.6714999999995"/>
    <x v="0"/>
  </r>
  <r>
    <x v="20"/>
    <s v="Michael Hernandez"/>
    <s v="FIN03"/>
    <d v="2017-12-07T00:00:00"/>
    <x v="18"/>
    <n v="118527"/>
    <n v="50"/>
    <x v="0"/>
    <x v="2"/>
    <x v="0"/>
    <n v="2370.54"/>
    <x v="0"/>
  </r>
  <r>
    <x v="21"/>
    <s v="Richard Hernandez"/>
    <s v="MKT04"/>
    <d v="2021-06-06T00:00:00"/>
    <x v="19"/>
    <n v="107871"/>
    <n v="88"/>
    <x v="0"/>
    <x v="1"/>
    <x v="3"/>
    <n v="8629.68"/>
    <x v="0"/>
  </r>
  <r>
    <x v="22"/>
    <s v="Michael Rodriguez"/>
    <s v=" IT02 "/>
    <d v="2022-09-11T00:00:00"/>
    <x v="20"/>
    <n v="93956"/>
    <n v="50"/>
    <x v="1"/>
    <x v="0"/>
    <x v="0"/>
    <n v="1879.1200000000001"/>
    <x v="1"/>
  </r>
  <r>
    <x v="23"/>
    <s v="Jessica Johnson"/>
    <s v=" FIN03 "/>
    <d v="2016-07-14T00:00:00"/>
    <x v="17"/>
    <n v="100851"/>
    <n v="64"/>
    <x v="0"/>
    <x v="2"/>
    <x v="0"/>
    <n v="2017.02"/>
    <x v="0"/>
  </r>
  <r>
    <x v="24"/>
    <s v="Ashley Williams"/>
    <s v="SAL05"/>
    <d v="2022-06-16T00:00:00"/>
    <x v="21"/>
    <n v="68655"/>
    <n v="32"/>
    <x v="0"/>
    <x v="4"/>
    <x v="2"/>
    <n v="0"/>
    <x v="0"/>
  </r>
  <r>
    <x v="25"/>
    <s v=" Williams"/>
    <s v=" SAL05 "/>
    <d v="2023-07-27T00:00:00"/>
    <x v="22"/>
    <n v="81205"/>
    <n v="59"/>
    <x v="0"/>
    <x v="4"/>
    <x v="0"/>
    <n v="1624.1000000000001"/>
    <x v="0"/>
  </r>
  <r>
    <x v="26"/>
    <s v="John Wilson"/>
    <s v="SAL05"/>
    <d v="2019-09-24T00:00:00"/>
    <x v="23"/>
    <n v="77610"/>
    <n v="88"/>
    <x v="0"/>
    <x v="4"/>
    <x v="3"/>
    <n v="6208.8"/>
    <x v="0"/>
  </r>
  <r>
    <x v="27"/>
    <s v="Thomas Rodriguez"/>
    <s v="IT02"/>
    <d v="2022-07-23T00:00:00"/>
    <x v="24"/>
    <n v="50873"/>
    <n v="90"/>
    <x v="0"/>
    <x v="0"/>
    <x v="3"/>
    <n v="4069.84"/>
    <x v="0"/>
  </r>
  <r>
    <x v="28"/>
    <s v="Michael Wilson"/>
    <s v="FIN03"/>
    <d v="2018-05-13T00:00:00"/>
    <x v="16"/>
    <n v="85312"/>
    <n v="66"/>
    <x v="0"/>
    <x v="2"/>
    <x v="0"/>
    <n v="1706.24"/>
    <x v="0"/>
  </r>
  <r>
    <x v="29"/>
    <s v="John Rodriguez"/>
    <s v="SAL05"/>
    <d v="2015-07-17T00:00:00"/>
    <x v="25"/>
    <n v="82713.429999999993"/>
    <n v="68"/>
    <x v="0"/>
    <x v="4"/>
    <x v="0"/>
    <n v="1654.2685999999999"/>
    <x v="0"/>
  </r>
  <r>
    <x v="30"/>
    <s v="Thomas Hernandez"/>
    <s v="OPS06"/>
    <d v="2015-08-05T00:00:00"/>
    <x v="25"/>
    <n v="97055"/>
    <n v="80"/>
    <x v="0"/>
    <x v="3"/>
    <x v="1"/>
    <n v="4852.75"/>
    <x v="0"/>
  </r>
  <r>
    <x v="31"/>
    <s v="Michael Johnson"/>
    <s v="IT02"/>
    <d v="2023-09-26T00:00:00"/>
    <x v="26"/>
    <n v="66069"/>
    <n v="72"/>
    <x v="0"/>
    <x v="0"/>
    <x v="1"/>
    <n v="3303.4500000000003"/>
    <x v="0"/>
  </r>
  <r>
    <x v="32"/>
    <s v="Sarah Brown"/>
    <s v="IT02"/>
    <d v="2019-06-10T00:00:00"/>
    <x v="27"/>
    <n v="90157"/>
    <n v="58"/>
    <x v="0"/>
    <x v="0"/>
    <x v="0"/>
    <n v="1803.14"/>
    <x v="0"/>
  </r>
  <r>
    <x v="33"/>
    <s v="Jane Martinez"/>
    <s v="HR01"/>
    <d v="2022-01-17T00:00:00"/>
    <x v="28"/>
    <n v="59899"/>
    <n v="78"/>
    <x v="0"/>
    <x v="5"/>
    <x v="1"/>
    <n v="2994.9500000000003"/>
    <x v="0"/>
  </r>
  <r>
    <x v="34"/>
    <s v="Emily Jones"/>
    <s v=" FIN03 "/>
    <d v="2017-07-03T00:00:00"/>
    <x v="15"/>
    <n v="113389"/>
    <n v="30"/>
    <x v="0"/>
    <x v="2"/>
    <x v="2"/>
    <n v="0"/>
    <x v="0"/>
  </r>
  <r>
    <x v="35"/>
    <s v=" Brown"/>
    <s v=" IT02 "/>
    <d v="2015-09-01T00:00:00"/>
    <x v="29"/>
    <n v="102691"/>
    <n v="52"/>
    <x v="0"/>
    <x v="0"/>
    <x v="0"/>
    <n v="2053.8200000000002"/>
    <x v="0"/>
  </r>
  <r>
    <x v="36"/>
    <s v="John Wilson"/>
    <s v="OPS06"/>
    <d v="2022-08-03T00:00:00"/>
    <x v="24"/>
    <n v="111845"/>
    <n v="98"/>
    <x v="0"/>
    <x v="3"/>
    <x v="4"/>
    <n v="13421.4"/>
    <x v="0"/>
  </r>
  <r>
    <x v="37"/>
    <s v="Melissa Brown"/>
    <s v=" SAL05 "/>
    <d v="2022-06-29T00:00:00"/>
    <x v="21"/>
    <n v="69219"/>
    <n v="93"/>
    <x v="0"/>
    <x v="4"/>
    <x v="3"/>
    <n v="5537.52"/>
    <x v="0"/>
  </r>
  <r>
    <x v="38"/>
    <s v="Michael Smith"/>
    <s v="FIN03"/>
    <d v="2020-04-28T00:00:00"/>
    <x v="30"/>
    <n v="82713.429999999993"/>
    <n v="80"/>
    <x v="1"/>
    <x v="2"/>
    <x v="1"/>
    <n v="4135.6714999999995"/>
    <x v="1"/>
  </r>
  <r>
    <x v="39"/>
    <s v="Sarah Miller"/>
    <s v="OPS06"/>
    <d v="2017-09-09T00:00:00"/>
    <x v="31"/>
    <n v="57514"/>
    <n v="68"/>
    <x v="0"/>
    <x v="3"/>
    <x v="0"/>
    <n v="1150.28"/>
    <x v="0"/>
  </r>
  <r>
    <x v="40"/>
    <s v="Emily Wilson"/>
    <s v="SAL05"/>
    <d v="2018-03-22T00:00:00"/>
    <x v="32"/>
    <n v="86245"/>
    <n v="71"/>
    <x v="1"/>
    <x v="4"/>
    <x v="1"/>
    <n v="4312.25"/>
    <x v="1"/>
  </r>
  <r>
    <x v="41"/>
    <s v="David Hernandez"/>
    <s v="SAL05"/>
    <d v="2020-05-07T00:00:00"/>
    <x v="30"/>
    <n v="52407"/>
    <n v="55"/>
    <x v="0"/>
    <x v="4"/>
    <x v="0"/>
    <n v="1048.1400000000001"/>
    <x v="0"/>
  </r>
  <r>
    <x v="42"/>
    <s v="James Smith"/>
    <s v=" OPS06 "/>
    <d v="2019-03-25T00:00:00"/>
    <x v="33"/>
    <n v="66606"/>
    <n v="93"/>
    <x v="2"/>
    <x v="3"/>
    <x v="3"/>
    <n v="5328.4800000000005"/>
    <x v="1"/>
  </r>
  <r>
    <x v="43"/>
    <s v="Sarah Williams"/>
    <s v="IT02"/>
    <d v="2019-08-09T00:00:00"/>
    <x v="34"/>
    <n v="81896"/>
    <n v="79"/>
    <x v="2"/>
    <x v="0"/>
    <x v="1"/>
    <n v="4094.8"/>
    <x v="1"/>
  </r>
  <r>
    <x v="44"/>
    <s v="Amanda Lopez"/>
    <s v="SAL05"/>
    <d v="2016-07-14T00:00:00"/>
    <x v="17"/>
    <n v="78402"/>
    <n v="54"/>
    <x v="0"/>
    <x v="4"/>
    <x v="0"/>
    <n v="1568.04"/>
    <x v="0"/>
  </r>
  <r>
    <x v="45"/>
    <s v="Thomas Lopez"/>
    <s v=" OPS06 "/>
    <d v="2016-10-04T00:00:00"/>
    <x v="35"/>
    <n v="105498"/>
    <n v="76"/>
    <x v="0"/>
    <x v="3"/>
    <x v="1"/>
    <n v="5274.9000000000005"/>
    <x v="0"/>
  </r>
  <r>
    <x v="46"/>
    <s v="Melissa Johnson"/>
    <s v="MKT04"/>
    <d v="2019-07-10T00:00:00"/>
    <x v="36"/>
    <n v="91749"/>
    <n v="72"/>
    <x v="1"/>
    <x v="1"/>
    <x v="1"/>
    <n v="4587.45"/>
    <x v="1"/>
  </r>
  <r>
    <x v="47"/>
    <s v="Amanda Johnson"/>
    <s v=" OPS06 "/>
    <d v="2021-08-29T00:00:00"/>
    <x v="37"/>
    <n v="99935"/>
    <n v="84"/>
    <x v="2"/>
    <x v="3"/>
    <x v="1"/>
    <n v="4996.75"/>
    <x v="1"/>
  </r>
  <r>
    <x v="48"/>
    <s v="John Davis"/>
    <s v=" IT02 "/>
    <d v="2017-01-26T00:00:00"/>
    <x v="38"/>
    <n v="83531"/>
    <n v="30"/>
    <x v="1"/>
    <x v="0"/>
    <x v="2"/>
    <n v="0"/>
    <x v="1"/>
  </r>
  <r>
    <x v="49"/>
    <s v="James Johnson"/>
    <s v="MKT04"/>
    <d v="2020-05-30T00:00:00"/>
    <x v="39"/>
    <n v="75023"/>
    <n v="68"/>
    <x v="0"/>
    <x v="1"/>
    <x v="0"/>
    <n v="1500.46"/>
    <x v="0"/>
  </r>
  <r>
    <x v="50"/>
    <s v="Jane Davis"/>
    <s v="HR01"/>
    <d v="2022-02-20T00:00:00"/>
    <x v="40"/>
    <n v="93290"/>
    <n v="53"/>
    <x v="0"/>
    <x v="5"/>
    <x v="0"/>
    <n v="1865.8"/>
    <x v="0"/>
  </r>
  <r>
    <x v="51"/>
    <s v="Richard Davis"/>
    <s v="OPS06"/>
    <d v="2016-09-15T00:00:00"/>
    <x v="35"/>
    <n v="115527"/>
    <n v="63"/>
    <x v="2"/>
    <x v="3"/>
    <x v="0"/>
    <n v="2310.54"/>
    <x v="1"/>
  </r>
  <r>
    <x v="52"/>
    <s v="Thomas Rodriguez"/>
    <s v=" FIN03 "/>
    <d v="2019-10-07T00:00:00"/>
    <x v="23"/>
    <n v="55920"/>
    <n v="84"/>
    <x v="0"/>
    <x v="2"/>
    <x v="1"/>
    <n v="2796"/>
    <x v="0"/>
  </r>
  <r>
    <x v="53"/>
    <s v="Emily Johnson"/>
    <s v="SAL05"/>
    <d v="2018-12-30T00:00:00"/>
    <x v="41"/>
    <n v="80189"/>
    <n v="30"/>
    <x v="0"/>
    <x v="4"/>
    <x v="2"/>
    <n v="0"/>
    <x v="0"/>
  </r>
  <r>
    <x v="54"/>
    <s v="Emily Garcia"/>
    <s v="HR01"/>
    <d v="2020-12-24T00:00:00"/>
    <x v="7"/>
    <n v="118947"/>
    <n v="96"/>
    <x v="0"/>
    <x v="5"/>
    <x v="4"/>
    <n v="14273.64"/>
    <x v="0"/>
  </r>
  <r>
    <x v="55"/>
    <s v="Jane Anderson"/>
    <s v="IT02"/>
    <d v="2023-07-05T00:00:00"/>
    <x v="3"/>
    <n v="82713.429999999993"/>
    <n v="54"/>
    <x v="0"/>
    <x v="0"/>
    <x v="0"/>
    <n v="1654.2685999999999"/>
    <x v="0"/>
  </r>
  <r>
    <x v="56"/>
    <s v="Thomas Garcia"/>
    <s v=" OPS06 "/>
    <d v="2020-11-13T00:00:00"/>
    <x v="42"/>
    <n v="82713.429999999993"/>
    <n v="75"/>
    <x v="0"/>
    <x v="3"/>
    <x v="1"/>
    <n v="4135.6714999999995"/>
    <x v="0"/>
  </r>
  <r>
    <x v="57"/>
    <s v="David Martinez"/>
    <s v="HR01"/>
    <d v="2018-02-07T00:00:00"/>
    <x v="43"/>
    <n v="91655"/>
    <n v="95"/>
    <x v="0"/>
    <x v="5"/>
    <x v="4"/>
    <n v="10998.6"/>
    <x v="0"/>
  </r>
  <r>
    <x v="58"/>
    <s v="Emily Brown"/>
    <s v="IT02"/>
    <d v="2023-11-25T00:00:00"/>
    <x v="44"/>
    <n v="49435"/>
    <n v="68"/>
    <x v="1"/>
    <x v="0"/>
    <x v="0"/>
    <n v="988.7"/>
    <x v="1"/>
  </r>
  <r>
    <x v="59"/>
    <s v="Emily Wilson"/>
    <s v="SAL05"/>
    <d v="2023-10-18T00:00:00"/>
    <x v="45"/>
    <n v="110381"/>
    <n v="93"/>
    <x v="0"/>
    <x v="4"/>
    <x v="3"/>
    <n v="8830.48"/>
    <x v="0"/>
  </r>
  <r>
    <x v="60"/>
    <s v="Michael Anderson"/>
    <s v="HR01"/>
    <d v="2020-09-05T00:00:00"/>
    <x v="46"/>
    <n v="114748"/>
    <n v="33"/>
    <x v="0"/>
    <x v="5"/>
    <x v="2"/>
    <n v="0"/>
    <x v="0"/>
  </r>
  <r>
    <x v="61"/>
    <s v="Robert Johnson"/>
    <s v="OPS06"/>
    <d v="2017-03-06T00:00:00"/>
    <x v="47"/>
    <n v="63302"/>
    <n v="91"/>
    <x v="0"/>
    <x v="3"/>
    <x v="3"/>
    <n v="5064.16"/>
    <x v="0"/>
  </r>
  <r>
    <x v="62"/>
    <s v="Robert Miller"/>
    <s v="IT02"/>
    <d v="2015-04-28T00:00:00"/>
    <x v="48"/>
    <n v="75519"/>
    <n v="64"/>
    <x v="0"/>
    <x v="0"/>
    <x v="0"/>
    <n v="1510.38"/>
    <x v="0"/>
  </r>
  <r>
    <x v="63"/>
    <s v="Jane Davis"/>
    <s v=" FIN03 "/>
    <d v="2017-04-13T00:00:00"/>
    <x v="49"/>
    <n v="103891"/>
    <n v="80"/>
    <x v="0"/>
    <x v="2"/>
    <x v="1"/>
    <n v="5194.55"/>
    <x v="0"/>
  </r>
  <r>
    <x v="64"/>
    <s v="Thomas Davis"/>
    <s v="OPS06"/>
    <d v="2022-09-23T00:00:00"/>
    <x v="20"/>
    <n v="82713.429999999993"/>
    <n v="46"/>
    <x v="1"/>
    <x v="3"/>
    <x v="2"/>
    <n v="0"/>
    <x v="1"/>
  </r>
  <r>
    <x v="65"/>
    <s v="Thomas Jones"/>
    <s v=" MKT04 "/>
    <d v="2016-11-11T00:00:00"/>
    <x v="50"/>
    <n v="50936"/>
    <n v="99"/>
    <x v="0"/>
    <x v="1"/>
    <x v="4"/>
    <n v="6112.32"/>
    <x v="0"/>
  </r>
  <r>
    <x v="66"/>
    <s v="Michael Miller"/>
    <s v=" SAL05 "/>
    <d v="2017-03-24T00:00:00"/>
    <x v="51"/>
    <n v="111240"/>
    <n v="68"/>
    <x v="0"/>
    <x v="4"/>
    <x v="0"/>
    <n v="2224.8000000000002"/>
    <x v="0"/>
  </r>
  <r>
    <x v="67"/>
    <s v="Richard Gonzalez"/>
    <s v="HR01"/>
    <d v="2019-05-05T00:00:00"/>
    <x v="52"/>
    <n v="51567"/>
    <n v="87"/>
    <x v="2"/>
    <x v="5"/>
    <x v="3"/>
    <n v="4125.3599999999997"/>
    <x v="1"/>
  </r>
  <r>
    <x v="68"/>
    <s v="Melissa Williams"/>
    <s v=" HR01 "/>
    <d v="2021-07-25T00:00:00"/>
    <x v="53"/>
    <n v="82713.429999999993"/>
    <n v="36"/>
    <x v="0"/>
    <x v="5"/>
    <x v="2"/>
    <n v="0"/>
    <x v="0"/>
  </r>
  <r>
    <x v="69"/>
    <s v="Robert Miller"/>
    <s v="HR01"/>
    <d v="2017-09-30T00:00:00"/>
    <x v="31"/>
    <n v="55270"/>
    <n v="87"/>
    <x v="0"/>
    <x v="5"/>
    <x v="3"/>
    <n v="4421.6000000000004"/>
    <x v="0"/>
  </r>
  <r>
    <x v="70"/>
    <s v="William Garcia"/>
    <s v="SAL05"/>
    <d v="2015-07-07T00:00:00"/>
    <x v="54"/>
    <n v="65235"/>
    <n v="97"/>
    <x v="0"/>
    <x v="4"/>
    <x v="4"/>
    <n v="7828.2"/>
    <x v="0"/>
  </r>
  <r>
    <x v="71"/>
    <s v="John Gonzalez"/>
    <s v="SAL05"/>
    <d v="2018-07-02T00:00:00"/>
    <x v="55"/>
    <n v="82713.429999999993"/>
    <n v="72"/>
    <x v="1"/>
    <x v="4"/>
    <x v="1"/>
    <n v="4135.6714999999995"/>
    <x v="1"/>
  </r>
  <r>
    <x v="72"/>
    <s v="James Gonzalez"/>
    <s v="SAL05"/>
    <d v="2022-09-15T00:00:00"/>
    <x v="20"/>
    <n v="82713.429999999993"/>
    <n v="65"/>
    <x v="1"/>
    <x v="4"/>
    <x v="0"/>
    <n v="1654.2685999999999"/>
    <x v="1"/>
  </r>
  <r>
    <x v="73"/>
    <s v="Jane Gonzalez"/>
    <s v=" SAL05 "/>
    <d v="2015-09-02T00:00:00"/>
    <x v="29"/>
    <n v="82713.429999999993"/>
    <n v="67"/>
    <x v="0"/>
    <x v="4"/>
    <x v="0"/>
    <n v="1654.2685999999999"/>
    <x v="0"/>
  </r>
  <r>
    <x v="74"/>
    <s v="David Wilson"/>
    <s v="OPS06"/>
    <d v="2016-10-11T00:00:00"/>
    <x v="8"/>
    <n v="48823"/>
    <n v="34"/>
    <x v="0"/>
    <x v="3"/>
    <x v="2"/>
    <n v="0"/>
    <x v="0"/>
  </r>
  <r>
    <x v="75"/>
    <s v="Jane Gonzalez"/>
    <s v=" FIN03 "/>
    <d v="2019-04-20T00:00:00"/>
    <x v="52"/>
    <n v="45196"/>
    <n v="78"/>
    <x v="1"/>
    <x v="2"/>
    <x v="1"/>
    <n v="2259.8000000000002"/>
    <x v="1"/>
  </r>
  <r>
    <x v="76"/>
    <s v="Jane Rodriguez"/>
    <s v="IT02"/>
    <d v="2017-02-19T00:00:00"/>
    <x v="47"/>
    <n v="86246"/>
    <n v="61"/>
    <x v="0"/>
    <x v="0"/>
    <x v="0"/>
    <n v="1724.92"/>
    <x v="0"/>
  </r>
  <r>
    <x v="77"/>
    <s v="Emily Miller"/>
    <s v="SAL05"/>
    <d v="2021-09-07T00:00:00"/>
    <x v="37"/>
    <n v="70359"/>
    <n v="74"/>
    <x v="1"/>
    <x v="4"/>
    <x v="1"/>
    <n v="3517.9500000000003"/>
    <x v="1"/>
  </r>
  <r>
    <x v="78"/>
    <s v="Sarah Miller"/>
    <s v=" MKT04 "/>
    <d v="2019-05-14T00:00:00"/>
    <x v="56"/>
    <n v="82713.429999999993"/>
    <n v="94"/>
    <x v="0"/>
    <x v="1"/>
    <x v="3"/>
    <n v="6617.0743999999995"/>
    <x v="0"/>
  </r>
  <r>
    <x v="79"/>
    <s v="Jessica Garcia"/>
    <s v=" OPS06 "/>
    <d v="2015-11-22T00:00:00"/>
    <x v="14"/>
    <n v="86480"/>
    <n v="68"/>
    <x v="0"/>
    <x v="3"/>
    <x v="0"/>
    <n v="1729.6000000000001"/>
    <x v="0"/>
  </r>
  <r>
    <x v="80"/>
    <s v="Richard Smith"/>
    <s v="HR01"/>
    <d v="2018-09-29T00:00:00"/>
    <x v="57"/>
    <n v="47694"/>
    <n v="75"/>
    <x v="0"/>
    <x v="5"/>
    <x v="1"/>
    <n v="2384.7000000000003"/>
    <x v="0"/>
  </r>
  <r>
    <x v="81"/>
    <s v="Melissa Wilson"/>
    <s v="IT02"/>
    <d v="2023-09-02T00:00:00"/>
    <x v="13"/>
    <n v="83724"/>
    <n v="81"/>
    <x v="2"/>
    <x v="0"/>
    <x v="1"/>
    <n v="4186.2"/>
    <x v="1"/>
  </r>
  <r>
    <x v="82"/>
    <s v="Thomas Williams"/>
    <s v=" FIN03 "/>
    <d v="2022-07-17T00:00:00"/>
    <x v="24"/>
    <n v="98299"/>
    <n v="61"/>
    <x v="0"/>
    <x v="2"/>
    <x v="0"/>
    <n v="1965.98"/>
    <x v="0"/>
  </r>
  <r>
    <x v="83"/>
    <s v="David Williams"/>
    <s v="FIN03"/>
    <d v="2021-02-07T00:00:00"/>
    <x v="58"/>
    <n v="82713.429999999993"/>
    <n v="68"/>
    <x v="0"/>
    <x v="2"/>
    <x v="0"/>
    <n v="1654.2685999999999"/>
    <x v="0"/>
  </r>
  <r>
    <x v="84"/>
    <s v="John Johnson"/>
    <s v="IT02"/>
    <d v="2023-10-04T00:00:00"/>
    <x v="26"/>
    <n v="52287"/>
    <n v="70"/>
    <x v="0"/>
    <x v="0"/>
    <x v="1"/>
    <n v="2614.3500000000004"/>
    <x v="0"/>
  </r>
  <r>
    <x v="85"/>
    <s v="Richard Gonzalez"/>
    <s v="IT02"/>
    <d v="2020-08-30T00:00:00"/>
    <x v="46"/>
    <n v="82633"/>
    <n v="98"/>
    <x v="0"/>
    <x v="0"/>
    <x v="4"/>
    <n v="9915.9599999999991"/>
    <x v="0"/>
  </r>
  <r>
    <x v="86"/>
    <s v="Melissa Anderson"/>
    <s v=" OPS06 "/>
    <d v="2021-08-14T00:00:00"/>
    <x v="37"/>
    <n v="46508"/>
    <n v="34"/>
    <x v="0"/>
    <x v="3"/>
    <x v="2"/>
    <n v="0"/>
    <x v="0"/>
  </r>
  <r>
    <x v="87"/>
    <s v="Emily Gonzalez"/>
    <s v="HR01"/>
    <d v="2019-11-27T00:00:00"/>
    <x v="59"/>
    <n v="86232"/>
    <n v="93"/>
    <x v="0"/>
    <x v="5"/>
    <x v="3"/>
    <n v="6898.56"/>
    <x v="0"/>
  </r>
  <r>
    <x v="88"/>
    <s v="Jane Davis"/>
    <s v="IT02"/>
    <d v="2017-05-25T00:00:00"/>
    <x v="60"/>
    <n v="77545"/>
    <n v="48"/>
    <x v="0"/>
    <x v="0"/>
    <x v="2"/>
    <n v="0"/>
    <x v="0"/>
  </r>
  <r>
    <x v="89"/>
    <s v="William Gonzalez"/>
    <s v=" OPS06 "/>
    <d v="2018-12-02T00:00:00"/>
    <x v="61"/>
    <n v="68683"/>
    <n v="90"/>
    <x v="0"/>
    <x v="3"/>
    <x v="3"/>
    <n v="5494.64"/>
    <x v="0"/>
  </r>
  <r>
    <x v="90"/>
    <s v="Thomas Jones"/>
    <s v="FIN03"/>
    <d v="2019-06-23T00:00:00"/>
    <x v="27"/>
    <n v="83932"/>
    <n v="57"/>
    <x v="1"/>
    <x v="2"/>
    <x v="0"/>
    <n v="1678.64"/>
    <x v="1"/>
  </r>
  <r>
    <x v="91"/>
    <s v="Jessica Anderson"/>
    <s v="HR01"/>
    <d v="2015-10-27T00:00:00"/>
    <x v="62"/>
    <n v="56073"/>
    <n v="79"/>
    <x v="0"/>
    <x v="5"/>
    <x v="1"/>
    <n v="2803.65"/>
    <x v="0"/>
  </r>
  <r>
    <x v="92"/>
    <s v="Melissa Johnson"/>
    <s v=" IT02 "/>
    <d v="2018-06-19T00:00:00"/>
    <x v="55"/>
    <n v="88056"/>
    <n v="66"/>
    <x v="0"/>
    <x v="0"/>
    <x v="0"/>
    <n v="1761.1200000000001"/>
    <x v="0"/>
  </r>
  <r>
    <x v="93"/>
    <s v="Thomas Miller"/>
    <s v="OPS06"/>
    <d v="2018-01-12T00:00:00"/>
    <x v="43"/>
    <n v="67414"/>
    <n v="84"/>
    <x v="1"/>
    <x v="3"/>
    <x v="1"/>
    <n v="3370.7000000000003"/>
    <x v="1"/>
  </r>
  <r>
    <x v="94"/>
    <s v="William Gonzalez"/>
    <s v="SAL05"/>
    <d v="2015-01-04T00:00:00"/>
    <x v="63"/>
    <s v="$115,288"/>
    <n v="61"/>
    <x v="0"/>
    <x v="4"/>
    <x v="0"/>
    <n v="2305.7600000000002"/>
    <x v="0"/>
  </r>
  <r>
    <x v="95"/>
    <s v=" Smith"/>
    <s v="SAL05"/>
    <d v="2018-12-05T00:00:00"/>
    <x v="61"/>
    <n v="80140"/>
    <n v="58"/>
    <x v="0"/>
    <x v="4"/>
    <x v="0"/>
    <n v="1602.8"/>
    <x v="0"/>
  </r>
  <r>
    <x v="96"/>
    <s v="John Johnson"/>
    <s v="IT02"/>
    <d v="2021-10-13T00:00:00"/>
    <x v="64"/>
    <n v="73087"/>
    <n v="69"/>
    <x v="0"/>
    <x v="0"/>
    <x v="0"/>
    <n v="1461.74"/>
    <x v="0"/>
  </r>
  <r>
    <x v="97"/>
    <s v="Jane Johnson"/>
    <s v=" SAL05 "/>
    <d v="2020-09-07T00:00:00"/>
    <x v="46"/>
    <n v="95292"/>
    <n v="34"/>
    <x v="0"/>
    <x v="4"/>
    <x v="2"/>
    <n v="0"/>
    <x v="0"/>
  </r>
  <r>
    <x v="98"/>
    <s v="John Jones"/>
    <s v=" IT02 "/>
    <d v="2019-03-08T00:00:00"/>
    <x v="33"/>
    <n v="82713.429999999993"/>
    <n v="33"/>
    <x v="0"/>
    <x v="0"/>
    <x v="2"/>
    <n v="0"/>
    <x v="0"/>
  </r>
  <r>
    <x v="99"/>
    <s v="Jane Lopez"/>
    <s v="MKT04"/>
    <d v="2015-03-11T00:00:00"/>
    <x v="65"/>
    <n v="101750"/>
    <n v="84"/>
    <x v="1"/>
    <x v="1"/>
    <x v="1"/>
    <n v="5087.5"/>
    <x v="1"/>
  </r>
  <r>
    <x v="100"/>
    <s v="Melissa Gonzalez"/>
    <s v="MKT04"/>
    <d v="2017-02-19T00:00:00"/>
    <x v="47"/>
    <n v="82992"/>
    <n v="79"/>
    <x v="0"/>
    <x v="1"/>
    <x v="1"/>
    <n v="4149.6000000000004"/>
    <x v="0"/>
  </r>
  <r>
    <x v="101"/>
    <s v="William Davis"/>
    <s v="IT02"/>
    <d v="2023-05-09T00:00:00"/>
    <x v="66"/>
    <n v="49942"/>
    <n v="51"/>
    <x v="0"/>
    <x v="0"/>
    <x v="0"/>
    <n v="998.84"/>
    <x v="0"/>
  </r>
  <r>
    <x v="102"/>
    <s v="John Smith"/>
    <s v=" OPS06 "/>
    <d v="2018-01-22T00:00:00"/>
    <x v="43"/>
    <n v="89060"/>
    <n v="58"/>
    <x v="0"/>
    <x v="3"/>
    <x v="0"/>
    <n v="1781.2"/>
    <x v="0"/>
  </r>
  <r>
    <x v="103"/>
    <s v="James Gonzalez"/>
    <s v="IT02"/>
    <d v="2020-02-18T00:00:00"/>
    <x v="5"/>
    <n v="53786"/>
    <n v="98"/>
    <x v="0"/>
    <x v="0"/>
    <x v="4"/>
    <n v="6454.32"/>
    <x v="0"/>
  </r>
  <r>
    <x v="104"/>
    <s v="Emily Johnson"/>
    <s v="OPS06"/>
    <d v="2016-05-22T00:00:00"/>
    <x v="67"/>
    <n v="81167"/>
    <n v="68"/>
    <x v="0"/>
    <x v="3"/>
    <x v="0"/>
    <n v="1623.3400000000001"/>
    <x v="0"/>
  </r>
  <r>
    <x v="105"/>
    <s v="William Williams"/>
    <s v="MKT04"/>
    <d v="2021-06-02T00:00:00"/>
    <x v="19"/>
    <n v="66688"/>
    <n v="40"/>
    <x v="1"/>
    <x v="1"/>
    <x v="2"/>
    <n v="0"/>
    <x v="1"/>
  </r>
  <r>
    <x v="106"/>
    <s v="James Jones"/>
    <s v="IT02"/>
    <d v="2021-07-17T00:00:00"/>
    <x v="53"/>
    <n v="91672"/>
    <n v="88"/>
    <x v="0"/>
    <x v="0"/>
    <x v="3"/>
    <n v="7333.76"/>
    <x v="0"/>
  </r>
  <r>
    <x v="107"/>
    <s v="Jessica Gonzalez"/>
    <s v=" HR01 "/>
    <d v="2016-11-13T00:00:00"/>
    <x v="50"/>
    <n v="77737"/>
    <n v="77"/>
    <x v="0"/>
    <x v="5"/>
    <x v="1"/>
    <n v="3886.8500000000004"/>
    <x v="0"/>
  </r>
  <r>
    <x v="108"/>
    <s v="Sarah Miller"/>
    <s v=" SAL05 "/>
    <d v="2019-02-17T00:00:00"/>
    <x v="68"/>
    <n v="95686"/>
    <n v="91"/>
    <x v="0"/>
    <x v="4"/>
    <x v="3"/>
    <n v="7654.88"/>
    <x v="0"/>
  </r>
  <r>
    <x v="109"/>
    <s v="Jessica Smith"/>
    <s v="SAL05"/>
    <d v="2016-09-12T00:00:00"/>
    <x v="35"/>
    <n v="114681"/>
    <n v="36"/>
    <x v="0"/>
    <x v="4"/>
    <x v="2"/>
    <n v="0"/>
    <x v="0"/>
  </r>
  <r>
    <x v="110"/>
    <s v="Thomas Jones"/>
    <s v=" OPS06 "/>
    <d v="2021-08-13T00:00:00"/>
    <x v="37"/>
    <n v="109121"/>
    <n v="72"/>
    <x v="0"/>
    <x v="3"/>
    <x v="1"/>
    <n v="5456.05"/>
    <x v="0"/>
  </r>
  <r>
    <x v="111"/>
    <s v="Amanda Brown"/>
    <s v="MKT04"/>
    <d v="2020-06-14T00:00:00"/>
    <x v="11"/>
    <n v="112791"/>
    <n v="87"/>
    <x v="0"/>
    <x v="1"/>
    <x v="3"/>
    <n v="9023.2800000000007"/>
    <x v="0"/>
  </r>
  <r>
    <x v="112"/>
    <s v="Robert Martinez"/>
    <s v=" IT02 "/>
    <d v="2022-07-05T00:00:00"/>
    <x v="21"/>
    <n v="118008"/>
    <n v="71"/>
    <x v="0"/>
    <x v="0"/>
    <x v="1"/>
    <n v="5900.4000000000005"/>
    <x v="0"/>
  </r>
  <r>
    <x v="113"/>
    <s v="Thomas Miller"/>
    <s v="IT02"/>
    <d v="2016-07-10T00:00:00"/>
    <x v="17"/>
    <n v="74370"/>
    <n v="82"/>
    <x v="0"/>
    <x v="0"/>
    <x v="1"/>
    <n v="3718.5"/>
    <x v="0"/>
  </r>
  <r>
    <x v="114"/>
    <s v="David Rodriguez"/>
    <s v=" IT02 "/>
    <d v="2022-04-23T00:00:00"/>
    <x v="1"/>
    <n v="77819"/>
    <n v="79"/>
    <x v="0"/>
    <x v="0"/>
    <x v="1"/>
    <n v="3890.9500000000003"/>
    <x v="0"/>
  </r>
  <r>
    <x v="115"/>
    <s v="Jane Miller"/>
    <s v=" MKT04 "/>
    <d v="2017-05-10T00:00:00"/>
    <x v="60"/>
    <n v="48748"/>
    <n v="83"/>
    <x v="0"/>
    <x v="1"/>
    <x v="1"/>
    <n v="2437.4"/>
    <x v="0"/>
  </r>
  <r>
    <x v="116"/>
    <s v="James Rodriguez"/>
    <s v="OPS06"/>
    <d v="2020-05-20T00:00:00"/>
    <x v="39"/>
    <n v="101997"/>
    <n v="38"/>
    <x v="2"/>
    <x v="3"/>
    <x v="2"/>
    <n v="0"/>
    <x v="1"/>
  </r>
  <r>
    <x v="117"/>
    <s v="Sarah Rodriguez"/>
    <s v="HR01"/>
    <d v="2023-04-20T00:00:00"/>
    <x v="69"/>
    <n v="115260"/>
    <n v="77"/>
    <x v="0"/>
    <x v="5"/>
    <x v="1"/>
    <n v="5763"/>
    <x v="0"/>
  </r>
  <r>
    <x v="118"/>
    <s v="Sarah Wilson"/>
    <s v="SAL05"/>
    <d v="2021-10-31T00:00:00"/>
    <x v="64"/>
    <n v="82713.429999999993"/>
    <n v="49"/>
    <x v="0"/>
    <x v="4"/>
    <x v="2"/>
    <n v="0"/>
    <x v="0"/>
  </r>
  <r>
    <x v="119"/>
    <s v="Melissa Brown"/>
    <s v=" IT02 "/>
    <d v="2021-10-24T00:00:00"/>
    <x v="64"/>
    <n v="82713.429999999993"/>
    <n v="69"/>
    <x v="1"/>
    <x v="0"/>
    <x v="0"/>
    <n v="1654.2685999999999"/>
    <x v="1"/>
  </r>
  <r>
    <x v="120"/>
    <s v="Robert Williams"/>
    <s v="SAL05"/>
    <d v="2017-08-09T00:00:00"/>
    <x v="70"/>
    <n v="82713.429999999993"/>
    <n v="76"/>
    <x v="0"/>
    <x v="4"/>
    <x v="1"/>
    <n v="4135.6714999999995"/>
    <x v="0"/>
  </r>
  <r>
    <x v="121"/>
    <s v="Melissa Rodriguez"/>
    <s v="OPS06"/>
    <d v="2023-01-04T00:00:00"/>
    <x v="71"/>
    <n v="60623"/>
    <n v="78"/>
    <x v="0"/>
    <x v="3"/>
    <x v="1"/>
    <n v="3031.15"/>
    <x v="0"/>
  </r>
  <r>
    <x v="122"/>
    <s v="James Johnson"/>
    <s v=" HR01 "/>
    <d v="2020-08-10T00:00:00"/>
    <x v="46"/>
    <n v="68092"/>
    <n v="93"/>
    <x v="0"/>
    <x v="5"/>
    <x v="3"/>
    <n v="5447.36"/>
    <x v="0"/>
  </r>
  <r>
    <x v="123"/>
    <s v="Michael Wilson"/>
    <s v="MKT04"/>
    <d v="2022-04-02T00:00:00"/>
    <x v="72"/>
    <n v="88155"/>
    <n v="68"/>
    <x v="0"/>
    <x v="1"/>
    <x v="0"/>
    <n v="1763.1000000000001"/>
    <x v="0"/>
  </r>
  <r>
    <x v="124"/>
    <s v="William Jones"/>
    <s v="MKT04"/>
    <d v="2018-03-24T00:00:00"/>
    <x v="32"/>
    <n v="107903"/>
    <n v="42"/>
    <x v="0"/>
    <x v="1"/>
    <x v="2"/>
    <n v="0"/>
    <x v="0"/>
  </r>
  <r>
    <x v="125"/>
    <s v="William Williams"/>
    <s v="IT02"/>
    <d v="2018-07-24T00:00:00"/>
    <x v="73"/>
    <n v="62818"/>
    <n v="34"/>
    <x v="0"/>
    <x v="0"/>
    <x v="2"/>
    <n v="0"/>
    <x v="0"/>
  </r>
  <r>
    <x v="126"/>
    <s v="David Williams"/>
    <s v=" HR01 "/>
    <d v="2018-07-20T00:00:00"/>
    <x v="73"/>
    <n v="85151"/>
    <n v="35"/>
    <x v="0"/>
    <x v="5"/>
    <x v="2"/>
    <n v="0"/>
    <x v="0"/>
  </r>
  <r>
    <x v="127"/>
    <s v="Jane Davis"/>
    <s v=" FIN03 "/>
    <d v="2016-03-04T00:00:00"/>
    <x v="2"/>
    <n v="46390"/>
    <n v="95"/>
    <x v="0"/>
    <x v="2"/>
    <x v="4"/>
    <n v="5566.8"/>
    <x v="0"/>
  </r>
  <r>
    <x v="128"/>
    <s v="John Martinez"/>
    <s v=" HR01 "/>
    <d v="2022-03-23T00:00:00"/>
    <x v="72"/>
    <n v="111920"/>
    <n v="90"/>
    <x v="1"/>
    <x v="5"/>
    <x v="3"/>
    <n v="8953.6"/>
    <x v="1"/>
  </r>
  <r>
    <x v="129"/>
    <s v="David Anderson"/>
    <s v="HR01"/>
    <d v="2017-07-28T00:00:00"/>
    <x v="74"/>
    <n v="115618"/>
    <n v="42"/>
    <x v="0"/>
    <x v="5"/>
    <x v="2"/>
    <n v="0"/>
    <x v="0"/>
  </r>
  <r>
    <x v="130"/>
    <s v="Sarah Smith"/>
    <s v="SAL05"/>
    <d v="2023-05-11T00:00:00"/>
    <x v="66"/>
    <n v="110618"/>
    <n v="88"/>
    <x v="2"/>
    <x v="4"/>
    <x v="3"/>
    <n v="8849.44"/>
    <x v="1"/>
  </r>
  <r>
    <x v="131"/>
    <s v="Melissa Hernandez"/>
    <s v=" OPS06 "/>
    <d v="2022-03-19T00:00:00"/>
    <x v="72"/>
    <n v="108395"/>
    <n v="78"/>
    <x v="1"/>
    <x v="3"/>
    <x v="1"/>
    <n v="5419.75"/>
    <x v="1"/>
  </r>
  <r>
    <x v="132"/>
    <s v="Melissa Johnson"/>
    <s v="FIN03"/>
    <d v="2017-12-22T00:00:00"/>
    <x v="0"/>
    <n v="88005"/>
    <n v="69"/>
    <x v="0"/>
    <x v="2"/>
    <x v="0"/>
    <n v="1760.1000000000001"/>
    <x v="0"/>
  </r>
  <r>
    <x v="133"/>
    <s v="Jane Garcia"/>
    <s v=" MKT04 "/>
    <d v="2021-08-29T00:00:00"/>
    <x v="37"/>
    <n v="83007"/>
    <n v="82"/>
    <x v="0"/>
    <x v="1"/>
    <x v="1"/>
    <n v="4150.3500000000004"/>
    <x v="0"/>
  </r>
  <r>
    <x v="134"/>
    <s v="David Davis"/>
    <s v="IT02"/>
    <d v="2018-09-17T00:00:00"/>
    <x v="57"/>
    <n v="61547"/>
    <n v="68"/>
    <x v="0"/>
    <x v="0"/>
    <x v="0"/>
    <n v="1230.94"/>
    <x v="0"/>
  </r>
  <r>
    <x v="135"/>
    <s v="James Wilson"/>
    <s v="SAL05"/>
    <d v="2021-06-28T00:00:00"/>
    <x v="10"/>
    <n v="82713.429999999993"/>
    <n v="52"/>
    <x v="0"/>
    <x v="4"/>
    <x v="0"/>
    <n v="1654.2685999999999"/>
    <x v="0"/>
  </r>
  <r>
    <x v="136"/>
    <s v="Richard Johnson"/>
    <s v="OPS06"/>
    <d v="2017-10-03T00:00:00"/>
    <x v="31"/>
    <n v="50399"/>
    <n v="92"/>
    <x v="1"/>
    <x v="3"/>
    <x v="3"/>
    <n v="4031.92"/>
    <x v="1"/>
  </r>
  <r>
    <x v="137"/>
    <s v="Richard Williams"/>
    <s v="FIN03"/>
    <d v="2015-10-22T00:00:00"/>
    <x v="62"/>
    <n v="82713.429999999993"/>
    <n v="62"/>
    <x v="0"/>
    <x v="2"/>
    <x v="0"/>
    <n v="1654.2685999999999"/>
    <x v="0"/>
  </r>
  <r>
    <x v="138"/>
    <s v="John Hernandez"/>
    <s v="OPS06"/>
    <d v="2018-06-06T00:00:00"/>
    <x v="16"/>
    <n v="52720"/>
    <n v="68"/>
    <x v="0"/>
    <x v="3"/>
    <x v="0"/>
    <n v="1054.4000000000001"/>
    <x v="0"/>
  </r>
  <r>
    <x v="139"/>
    <s v="Sarah Gonzalez"/>
    <s v="OPS06"/>
    <d v="2017-07-16T00:00:00"/>
    <x v="74"/>
    <n v="65065"/>
    <n v="98"/>
    <x v="0"/>
    <x v="3"/>
    <x v="4"/>
    <n v="7807.7999999999993"/>
    <x v="0"/>
  </r>
  <r>
    <x v="140"/>
    <s v="Melissa Hernandez"/>
    <s v="SAL05"/>
    <d v="2015-06-20T00:00:00"/>
    <x v="54"/>
    <n v="82713.429999999993"/>
    <n v="94"/>
    <x v="2"/>
    <x v="4"/>
    <x v="3"/>
    <n v="6617.0743999999995"/>
    <x v="1"/>
  </r>
  <r>
    <x v="141"/>
    <s v="Melissa Hernandez"/>
    <s v=" OPS06 "/>
    <d v="2019-05-24T00:00:00"/>
    <x v="56"/>
    <n v="108119"/>
    <n v="57"/>
    <x v="2"/>
    <x v="3"/>
    <x v="0"/>
    <n v="2162.38"/>
    <x v="1"/>
  </r>
  <r>
    <x v="142"/>
    <s v="John Davis"/>
    <s v="IT02"/>
    <d v="2020-02-26T00:00:00"/>
    <x v="5"/>
    <n v="82713.429999999993"/>
    <n v="96"/>
    <x v="0"/>
    <x v="0"/>
    <x v="4"/>
    <n v="9925.6115999999984"/>
    <x v="0"/>
  </r>
  <r>
    <x v="143"/>
    <s v="Richard Davis"/>
    <s v="HR01"/>
    <d v="2023-03-06T00:00:00"/>
    <x v="4"/>
    <n v="106896"/>
    <n v="52"/>
    <x v="1"/>
    <x v="5"/>
    <x v="0"/>
    <n v="2137.92"/>
    <x v="1"/>
  </r>
  <r>
    <x v="144"/>
    <s v=" Jones"/>
    <s v=" IT02 "/>
    <d v="2019-01-12T00:00:00"/>
    <x v="75"/>
    <n v="112887"/>
    <n v="59"/>
    <x v="0"/>
    <x v="0"/>
    <x v="0"/>
    <n v="2257.7400000000002"/>
    <x v="0"/>
  </r>
  <r>
    <x v="145"/>
    <s v="William Rodriguez"/>
    <s v="FIN03"/>
    <d v="2023-04-21T00:00:00"/>
    <x v="69"/>
    <n v="85457"/>
    <n v="79"/>
    <x v="0"/>
    <x v="2"/>
    <x v="1"/>
    <n v="4272.8500000000004"/>
    <x v="0"/>
  </r>
  <r>
    <x v="146"/>
    <s v="Melissa Miller"/>
    <s v="SAL05"/>
    <d v="2016-05-29T00:00:00"/>
    <x v="67"/>
    <n v="62798"/>
    <n v="30"/>
    <x v="0"/>
    <x v="4"/>
    <x v="2"/>
    <n v="0"/>
    <x v="0"/>
  </r>
  <r>
    <x v="147"/>
    <s v="Emily Martinez"/>
    <s v="OPS06"/>
    <d v="2022-05-30T00:00:00"/>
    <x v="76"/>
    <n v="47794"/>
    <n v="73"/>
    <x v="1"/>
    <x v="3"/>
    <x v="1"/>
    <n v="2389.7000000000003"/>
    <x v="1"/>
  </r>
  <r>
    <x v="148"/>
    <s v="James Rodriguez"/>
    <s v="MKT04"/>
    <d v="2016-11-03T00:00:00"/>
    <x v="8"/>
    <n v="93094"/>
    <n v="74"/>
    <x v="0"/>
    <x v="1"/>
    <x v="1"/>
    <n v="4654.7"/>
    <x v="0"/>
  </r>
  <r>
    <x v="149"/>
    <s v="Amanda Brown"/>
    <s v="IT02"/>
    <d v="2022-10-14T00:00:00"/>
    <x v="77"/>
    <n v="118634"/>
    <n v="91"/>
    <x v="0"/>
    <x v="0"/>
    <x v="3"/>
    <n v="9490.71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12884A-518A-4357-B691-14079EB723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45:L52" firstHeaderRow="1" firstDataRow="1" firstDataCol="1"/>
  <pivotFields count="13">
    <pivotField showAll="0"/>
    <pivotField showAll="0"/>
    <pivotField showAll="0"/>
    <pivotField showAll="0"/>
    <pivotField showAll="0"/>
    <pivotField showAll="0"/>
    <pivotField dataField="1" numFmtId="164" showAll="0"/>
    <pivotField showAll="0"/>
    <pivotField showAll="0">
      <items count="5">
        <item x="0"/>
        <item x="1"/>
        <item x="2"/>
        <item x="3"/>
        <item t="default"/>
      </items>
    </pivotField>
    <pivotField axis="axisRow" showAll="0">
      <items count="9">
        <item x="2"/>
        <item x="5"/>
        <item x="0"/>
        <item x="1"/>
        <item x="3"/>
        <item x="4"/>
        <item m="1" x="7"/>
        <item x="6"/>
        <item t="default"/>
      </items>
    </pivotField>
    <pivotField showAll="0"/>
    <pivotField showAll="0">
      <items count="7">
        <item h="1" x="1"/>
        <item x="0"/>
        <item h="1" x="3"/>
        <item h="1" x="2"/>
        <item h="1" x="4"/>
        <item h="1" x="5"/>
        <item t="default"/>
      </items>
    </pivotField>
    <pivotField numFmtId="164" showAll="0"/>
  </pivotFields>
  <rowFields count="1">
    <field x="9"/>
  </rowFields>
  <rowItems count="7">
    <i>
      <x/>
    </i>
    <i>
      <x v="1"/>
    </i>
    <i>
      <x v="2"/>
    </i>
    <i>
      <x v="3"/>
    </i>
    <i>
      <x v="4"/>
    </i>
    <i>
      <x v="5"/>
    </i>
    <i t="grand">
      <x/>
    </i>
  </rowItems>
  <colItems count="1">
    <i/>
  </colItems>
  <dataFields count="1">
    <dataField name="Average of Salary" fld="6" subtotal="average" baseField="9" baseItem="0" numFmtId="164"/>
  </dataFields>
  <formats count="3">
    <format dxfId="0">
      <pivotArea field="9" type="button" dataOnly="0" labelOnly="1" outline="0" axis="axisRow" fieldPosition="0"/>
    </format>
    <format dxfId="1">
      <pivotArea dataOnly="0" labelOnly="1" outline="0" axis="axisValues" fieldPosition="0"/>
    </format>
    <format dxfId="2">
      <pivotArea dataOnly="0" grandRow="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F1533-B6BF-4FD8-86C2-71600FA722A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ment Status">
  <location ref="A25:B28" firstHeaderRow="1" firstDataRow="1" firstDataCol="1"/>
  <pivotFields count="11">
    <pivotField showAll="0"/>
    <pivotField showAll="0"/>
    <pivotField showAll="0"/>
    <pivotField numFmtId="14" showAll="0"/>
    <pivotField showAll="0"/>
    <pivotField showAll="0"/>
    <pivotField dataField="1" showAll="0"/>
    <pivotField axis="axisRow" showAll="0">
      <items count="6">
        <item m="1" x="3"/>
        <item m="1" x="4"/>
        <item x="0"/>
        <item x="1"/>
        <item h="1" x="2"/>
        <item t="default"/>
      </items>
    </pivotField>
    <pivotField showAll="0"/>
    <pivotField showAll="0"/>
    <pivotField showAll="0"/>
  </pivotFields>
  <rowFields count="1">
    <field x="7"/>
  </rowFields>
  <rowItems count="3">
    <i>
      <x v="2"/>
    </i>
    <i>
      <x v="3"/>
    </i>
    <i t="grand">
      <x/>
    </i>
  </rowItems>
  <colItems count="1">
    <i/>
  </colItems>
  <dataFields count="1">
    <dataField name="Average of Perf_Score" fld="6" subtotal="average" baseField="8" baseItem="0"/>
  </dataFields>
  <formats count="3">
    <format dxfId="5">
      <pivotArea field="7" type="button" dataOnly="0" labelOnly="1" outline="0" axis="axisRow" fieldPosition="0"/>
    </format>
    <format dxfId="4">
      <pivotArea dataOnly="0" labelOnly="1" outline="0" axis="axisValues" fieldPosition="0"/>
    </format>
    <format dxfId="3">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C1521-A76E-4C10-9D53-FCC880F38C6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4:H41" firstHeaderRow="1" firstDataRow="1" firstDataCol="1"/>
  <pivotFields count="13">
    <pivotField showAll="0"/>
    <pivotField showAll="0"/>
    <pivotField showAll="0"/>
    <pivotField showAll="0"/>
    <pivotField showAll="0"/>
    <pivotField showAll="0"/>
    <pivotField numFmtId="164" showAll="0"/>
    <pivotField showAll="0"/>
    <pivotField dataField="1" showAll="0">
      <items count="5">
        <item x="0"/>
        <item x="1"/>
        <item x="2"/>
        <item x="3"/>
        <item t="default"/>
      </items>
    </pivotField>
    <pivotField axis="axisRow" showAll="0">
      <items count="9">
        <item x="2"/>
        <item x="5"/>
        <item x="0"/>
        <item x="1"/>
        <item x="3"/>
        <item x="4"/>
        <item m="1" x="7"/>
        <item x="6"/>
        <item t="default"/>
      </items>
    </pivotField>
    <pivotField showAll="0"/>
    <pivotField showAll="0">
      <items count="7">
        <item h="1" x="1"/>
        <item x="0"/>
        <item h="1" x="3"/>
        <item h="1" x="2"/>
        <item h="1" x="4"/>
        <item h="1" x="5"/>
        <item t="default"/>
      </items>
    </pivotField>
    <pivotField numFmtId="164" showAll="0"/>
  </pivotFields>
  <rowFields count="1">
    <field x="9"/>
  </rowFields>
  <rowItems count="7">
    <i>
      <x/>
    </i>
    <i>
      <x v="1"/>
    </i>
    <i>
      <x v="2"/>
    </i>
    <i>
      <x v="3"/>
    </i>
    <i>
      <x v="4"/>
    </i>
    <i>
      <x v="5"/>
    </i>
    <i t="grand">
      <x/>
    </i>
  </rowItems>
  <colItems count="1">
    <i/>
  </colItems>
  <dataFields count="1">
    <dataField name="Count of EmploymentStatus" fld="8" subtotal="count" baseField="0" baseItem="0"/>
  </dataFields>
  <formats count="4">
    <format dxfId="9">
      <pivotArea field="9"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C15985-7B7D-4E31-8B80-E0AA3D2E136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ment Status">
  <location ref="J37:J38" firstHeaderRow="1" firstDataRow="1" firstDataCol="0"/>
  <pivotFields count="11">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numFmtId="14" showAll="0"/>
    <pivotField showAll="0"/>
    <pivotField showAll="0"/>
    <pivotField showAll="0"/>
    <pivotField showAll="0">
      <items count="6">
        <item m="1" x="3"/>
        <item m="1" x="4"/>
        <item x="0"/>
        <item x="1"/>
        <item h="1" x="2"/>
        <item t="default"/>
      </items>
    </pivotField>
    <pivotField showAll="0"/>
    <pivotField showAll="0"/>
    <pivotField showAll="0"/>
  </pivotFields>
  <rowItems count="1">
    <i/>
  </rowItems>
  <colItems count="1">
    <i/>
  </colItems>
  <dataFields count="1">
    <dataField name="Count of Emp ID" fld="0" subtotal="count" baseField="0" baseItem="0"/>
  </dataFields>
  <formats count="4">
    <format dxfId="13">
      <pivotArea field="7" type="button" dataOnly="0" labelOnly="1" outline="0"/>
    </format>
    <format dxfId="12">
      <pivotArea dataOnly="0" labelOnly="1" outline="0" axis="axisValues" fieldPosition="0"/>
    </format>
    <format dxfId="11">
      <pivotArea dataOnly="0" grandRow="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93BE26-B56E-4C9D-8968-22A7629B3F2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erformance Band">
  <location ref="G5:H11" firstHeaderRow="1" firstDataRow="1" firstDataCol="1"/>
  <pivotFields count="11">
    <pivotField showAll="0"/>
    <pivotField showAll="0"/>
    <pivotField showAll="0"/>
    <pivotField numFmtId="14" showAll="0"/>
    <pivotField showAll="0"/>
    <pivotField showAll="0"/>
    <pivotField showAll="0"/>
    <pivotField showAll="0"/>
    <pivotField showAll="0"/>
    <pivotField axis="axisRow" showAll="0">
      <items count="6">
        <item x="1"/>
        <item x="0"/>
        <item x="3"/>
        <item x="2"/>
        <item x="4"/>
        <item t="default"/>
      </items>
    </pivotField>
    <pivotField dataField="1" showAll="0"/>
  </pivotFields>
  <rowFields count="1">
    <field x="9"/>
  </rowFields>
  <rowItems count="6">
    <i>
      <x/>
    </i>
    <i>
      <x v="1"/>
    </i>
    <i>
      <x v="2"/>
    </i>
    <i>
      <x v="3"/>
    </i>
    <i>
      <x v="4"/>
    </i>
    <i t="grand">
      <x/>
    </i>
  </rowItems>
  <colItems count="1">
    <i/>
  </colItems>
  <dataFields count="1">
    <dataField name="Sum of Eligible Bonus Amount" fld="10" baseField="0" baseItem="0" numFmtId="164"/>
  </dataFields>
  <formats count="5">
    <format dxfId="18">
      <pivotArea field="9" type="button" dataOnly="0" labelOnly="1" outline="0" axis="axisRow" fieldPosition="0"/>
    </format>
    <format dxfId="17">
      <pivotArea dataOnly="0" labelOnly="1" outline="0" axis="axisValues" fieldPosition="0"/>
    </format>
    <format dxfId="16">
      <pivotArea dataOnly="0" grandRow="1" axis="axisRow" fieldPosition="0"/>
    </format>
    <format dxfId="15">
      <pivotArea outline="0" collapsedLevelsAreSubtotals="1" fieldPosition="0"/>
    </format>
    <format dxfId="14">
      <pivotArea dataOnly="0" labelOnly="1" outline="0" axis="axisValues" fieldPosition="0"/>
    </format>
  </format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402FE7-F545-4671-BBC1-612D32C7CDE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16:J24" firstHeaderRow="1" firstDataRow="2" firstDataCol="1"/>
  <pivotFields count="12">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numFmtId="14" showAll="0"/>
    <pivotField showAll="0">
      <items count="79">
        <item h="1" x="67"/>
        <item h="1" x="29"/>
        <item h="1" x="25"/>
        <item x="2"/>
        <item h="1" x="14"/>
        <item h="1" x="62"/>
        <item h="1" x="54"/>
        <item h="1" x="48"/>
        <item h="1" x="65"/>
        <item h="1" x="63"/>
        <item h="1" x="13"/>
        <item h="1" x="22"/>
        <item h="1" x="6"/>
        <item h="1" x="44"/>
        <item h="1" x="45"/>
        <item h="1" x="26"/>
        <item h="1" x="3"/>
        <item h="1" x="66"/>
        <item h="1" x="24"/>
        <item h="1" x="69"/>
        <item h="1" x="4"/>
        <item h="1" x="71"/>
        <item h="1" x="77"/>
        <item h="1" x="20"/>
        <item h="1" x="21"/>
        <item h="1" x="76"/>
        <item h="1" x="37"/>
        <item h="1" x="53"/>
        <item h="1" x="1"/>
        <item h="1" x="72"/>
        <item h="1" x="40"/>
        <item h="1" x="28"/>
        <item h="1" x="64"/>
        <item h="1" x="10"/>
        <item h="1" x="19"/>
        <item h="1" x="46"/>
        <item h="1" x="58"/>
        <item h="1" x="7"/>
        <item h="1" x="42"/>
        <item h="1" x="11"/>
        <item h="1" x="39"/>
        <item h="1" x="34"/>
        <item h="1" x="36"/>
        <item h="1" x="30"/>
        <item h="1" x="9"/>
        <item h="1" x="5"/>
        <item h="1" x="12"/>
        <item h="1" x="59"/>
        <item h="1" x="23"/>
        <item h="1" x="27"/>
        <item h="1" x="56"/>
        <item h="1" x="73"/>
        <item h="1" x="52"/>
        <item h="1" x="33"/>
        <item h="1" x="68"/>
        <item h="1" x="75"/>
        <item h="1" x="41"/>
        <item h="1" x="61"/>
        <item h="1" x="57"/>
        <item h="1" x="55"/>
        <item h="1" x="16"/>
        <item h="1" x="70"/>
        <item h="1" x="74"/>
        <item h="1" x="32"/>
        <item h="1" x="43"/>
        <item h="1" x="0"/>
        <item h="1" x="18"/>
        <item h="1" x="31"/>
        <item h="1" x="15"/>
        <item h="1" x="60"/>
        <item h="1" x="17"/>
        <item h="1" x="49"/>
        <item h="1" x="51"/>
        <item h="1" x="47"/>
        <item h="1" x="38"/>
        <item h="1" x="50"/>
        <item h="1" x="8"/>
        <item h="1" x="35"/>
        <item t="default"/>
      </items>
    </pivotField>
    <pivotField showAll="0"/>
    <pivotField showAll="0"/>
    <pivotField showAll="0">
      <items count="4">
        <item x="0"/>
        <item x="1"/>
        <item x="2"/>
        <item t="default"/>
      </items>
    </pivotField>
    <pivotField axis="axisRow" showAll="0">
      <items count="7">
        <item x="2"/>
        <item x="5"/>
        <item x="0"/>
        <item x="1"/>
        <item x="3"/>
        <item x="4"/>
        <item t="default"/>
      </items>
    </pivotField>
    <pivotField showAll="0">
      <items count="6">
        <item x="1"/>
        <item x="0"/>
        <item x="3"/>
        <item x="2"/>
        <item x="4"/>
        <item t="default"/>
      </items>
    </pivotField>
    <pivotField numFmtId="164" showAll="0"/>
    <pivotField axis="axisCol" showAll="0">
      <items count="3">
        <item x="0"/>
        <item x="1"/>
        <item t="default"/>
      </items>
    </pivotField>
  </pivotFields>
  <rowFields count="1">
    <field x="8"/>
  </rowFields>
  <rowItems count="7">
    <i>
      <x/>
    </i>
    <i>
      <x v="1"/>
    </i>
    <i>
      <x v="2"/>
    </i>
    <i>
      <x v="3"/>
    </i>
    <i>
      <x v="4"/>
    </i>
    <i>
      <x v="5"/>
    </i>
    <i t="grand">
      <x/>
    </i>
  </rowItems>
  <colFields count="1">
    <field x="11"/>
  </colFields>
  <colItems count="3">
    <i>
      <x/>
    </i>
    <i>
      <x v="1"/>
    </i>
    <i t="grand">
      <x/>
    </i>
  </colItems>
  <dataFields count="1">
    <dataField name="Count of Emp ID" fld="0" subtotal="count" showDataAs="percentOfRow" baseField="0" baseItem="0" numFmtId="9"/>
  </dataFields>
  <formats count="8">
    <format dxfId="26">
      <pivotArea outline="0" collapsedLevelsAreSubtotals="1" fieldPosition="0"/>
    </format>
    <format dxfId="25">
      <pivotArea type="origin" dataOnly="0" labelOnly="1" outline="0" fieldPosition="0"/>
    </format>
    <format dxfId="24">
      <pivotArea field="11" type="button" dataOnly="0" labelOnly="1" outline="0" axis="axisCol" fieldPosition="0"/>
    </format>
    <format dxfId="23">
      <pivotArea type="topRight" dataOnly="0" labelOnly="1" outline="0" fieldPosition="0"/>
    </format>
    <format dxfId="22">
      <pivotArea field="8" type="button" dataOnly="0" labelOnly="1" outline="0" axis="axisRow" fieldPosition="0"/>
    </format>
    <format dxfId="21">
      <pivotArea dataOnly="0" labelOnly="1" fieldPosition="0">
        <references count="1">
          <reference field="11" count="0"/>
        </references>
      </pivotArea>
    </format>
    <format dxfId="20">
      <pivotArea dataOnly="0" labelOnly="1" grandCol="1" outline="0" fieldPosition="0"/>
    </format>
    <format dxfId="19">
      <pivotArea dataOnly="0" grandRow="1" axis="axisRow" fieldPosition="0"/>
    </format>
  </formats>
  <chartFormats count="10">
    <chartFormat chart="13" format="0" series="1">
      <pivotArea type="data" outline="0" fieldPosition="0">
        <references count="2">
          <reference field="4294967294" count="1" selected="0">
            <x v="0"/>
          </reference>
          <reference field="11" count="1" selected="0">
            <x v="0"/>
          </reference>
        </references>
      </pivotArea>
    </chartFormat>
    <chartFormat chart="13" format="1" series="1">
      <pivotArea type="data" outline="0" fieldPosition="0">
        <references count="2">
          <reference field="4294967294" count="1" selected="0">
            <x v="0"/>
          </reference>
          <reference field="11" count="1" selected="0">
            <x v="1"/>
          </reference>
        </references>
      </pivotArea>
    </chartFormat>
    <chartFormat chart="15" format="4" series="1">
      <pivotArea type="data" outline="0" fieldPosition="0">
        <references count="2">
          <reference field="4294967294" count="1" selected="0">
            <x v="0"/>
          </reference>
          <reference field="11" count="1" selected="0">
            <x v="0"/>
          </reference>
        </references>
      </pivotArea>
    </chartFormat>
    <chartFormat chart="15" format="5" series="1">
      <pivotArea type="data" outline="0" fieldPosition="0">
        <references count="2">
          <reference field="4294967294" count="1" selected="0">
            <x v="0"/>
          </reference>
          <reference field="11" count="1" selected="0">
            <x v="1"/>
          </reference>
        </references>
      </pivotArea>
    </chartFormat>
    <chartFormat chart="17" format="6" series="1">
      <pivotArea type="data" outline="0" fieldPosition="0">
        <references count="2">
          <reference field="4294967294" count="1" selected="0">
            <x v="0"/>
          </reference>
          <reference field="11" count="1" selected="0">
            <x v="0"/>
          </reference>
        </references>
      </pivotArea>
    </chartFormat>
    <chartFormat chart="17" format="7" series="1">
      <pivotArea type="data" outline="0" fieldPosition="0">
        <references count="2">
          <reference field="4294967294" count="1" selected="0">
            <x v="0"/>
          </reference>
          <reference field="11" count="1" selected="0">
            <x v="1"/>
          </reference>
        </references>
      </pivotArea>
    </chartFormat>
    <chartFormat chart="18" format="8" series="1">
      <pivotArea type="data" outline="0" fieldPosition="0">
        <references count="2">
          <reference field="4294967294" count="1" selected="0">
            <x v="0"/>
          </reference>
          <reference field="11" count="1" selected="0">
            <x v="0"/>
          </reference>
        </references>
      </pivotArea>
    </chartFormat>
    <chartFormat chart="18" format="9" series="1">
      <pivotArea type="data" outline="0" fieldPosition="0">
        <references count="2">
          <reference field="4294967294" count="1" selected="0">
            <x v="0"/>
          </reference>
          <reference field="11" count="1" selected="0">
            <x v="1"/>
          </reference>
        </references>
      </pivotArea>
    </chartFormat>
    <chartFormat chart="23" format="12" series="1">
      <pivotArea type="data" outline="0" fieldPosition="0">
        <references count="2">
          <reference field="4294967294" count="1" selected="0">
            <x v="0"/>
          </reference>
          <reference field="11" count="1" selected="0">
            <x v="0"/>
          </reference>
        </references>
      </pivotArea>
    </chartFormat>
    <chartFormat chart="23" format="1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75B346-9457-4831-9CAA-59752E792C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2" firstHeaderRow="1" firstDataRow="1" firstDataCol="1"/>
  <pivotFields count="13">
    <pivotField showAll="0"/>
    <pivotField showAll="0"/>
    <pivotField showAll="0"/>
    <pivotField showAll="0"/>
    <pivotField showAll="0"/>
    <pivotField showAll="0"/>
    <pivotField numFmtId="164" showAll="0"/>
    <pivotField dataField="1" showAll="0"/>
    <pivotField axis="axisRow" showAll="0">
      <items count="5">
        <item x="0"/>
        <item x="1"/>
        <item x="2"/>
        <item x="3"/>
        <item t="default"/>
      </items>
    </pivotField>
    <pivotField showAll="0">
      <items count="9">
        <item x="2"/>
        <item x="5"/>
        <item x="0"/>
        <item x="1"/>
        <item x="3"/>
        <item x="4"/>
        <item m="1" x="7"/>
        <item x="6"/>
        <item t="default"/>
      </items>
    </pivotField>
    <pivotField showAll="0"/>
    <pivotField showAll="0">
      <items count="7">
        <item h="1" x="1"/>
        <item x="0"/>
        <item h="1" x="3"/>
        <item h="1" x="2"/>
        <item h="1" x="4"/>
        <item h="1" x="5"/>
        <item t="default"/>
      </items>
    </pivotField>
    <pivotField numFmtId="164" showAll="0"/>
  </pivotFields>
  <rowFields count="1">
    <field x="8"/>
  </rowFields>
  <rowItems count="4">
    <i>
      <x/>
    </i>
    <i>
      <x v="1"/>
    </i>
    <i>
      <x v="2"/>
    </i>
    <i t="grand">
      <x/>
    </i>
  </rowItems>
  <colItems count="1">
    <i/>
  </colItems>
  <dataFields count="1">
    <dataField name="Average of Perf_Score" fld="7" subtotal="average" baseField="0" baseItem="0" numFmtId="1"/>
  </dataFields>
  <formats count="6">
    <format dxfId="32">
      <pivotArea collapsedLevelsAreSubtotals="1" fieldPosition="0">
        <references count="1">
          <reference field="8" count="0"/>
        </references>
      </pivotArea>
    </format>
    <format dxfId="31">
      <pivotArea outline="0" collapsedLevelsAreSubtotals="1" fieldPosition="0"/>
    </format>
    <format dxfId="30">
      <pivotArea field="8" type="button" dataOnly="0" labelOnly="1" outline="0" axis="axisRow" fieldPosition="0"/>
    </format>
    <format dxfId="29">
      <pivotArea dataOnly="0" labelOnly="1" outline="0" axis="axisValues" fieldPosition="0"/>
    </format>
    <format dxfId="28">
      <pivotArea grandRow="1" outline="0" collapsedLevelsAreSubtotals="1" fieldPosition="0"/>
    </format>
    <format dxfId="2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D21B39-BDB7-47DE-86C3-B43F444FB72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A5:B12" firstHeaderRow="1" firstDataRow="1" firstDataCol="1"/>
  <pivotFields count="11">
    <pivotField showAll="0"/>
    <pivotField showAll="0"/>
    <pivotField showAll="0"/>
    <pivotField numFmtId="14" showAll="0"/>
    <pivotField showAll="0"/>
    <pivotField dataField="1" showAll="0"/>
    <pivotField showAll="0"/>
    <pivotField showAll="0"/>
    <pivotField axis="axisRow" showAll="0">
      <items count="7">
        <item x="2"/>
        <item x="5"/>
        <item x="0"/>
        <item x="1"/>
        <item x="3"/>
        <item x="4"/>
        <item t="default"/>
      </items>
    </pivotField>
    <pivotField showAll="0"/>
    <pivotField showAll="0"/>
  </pivotFields>
  <rowFields count="1">
    <field x="8"/>
  </rowFields>
  <rowItems count="7">
    <i>
      <x/>
    </i>
    <i>
      <x v="1"/>
    </i>
    <i>
      <x v="2"/>
    </i>
    <i>
      <x v="3"/>
    </i>
    <i>
      <x v="4"/>
    </i>
    <i>
      <x v="5"/>
    </i>
    <i t="grand">
      <x/>
    </i>
  </rowItems>
  <colItems count="1">
    <i/>
  </colItems>
  <dataFields count="1">
    <dataField name="Count of Salary" fld="5" subtotal="count" baseField="0" baseItem="0"/>
  </dataFields>
  <formats count="5">
    <format dxfId="37">
      <pivotArea field="8" type="button" dataOnly="0" labelOnly="1" outline="0" axis="axisRow" fieldPosition="0"/>
    </format>
    <format dxfId="36">
      <pivotArea dataOnly="0" labelOnly="1" outline="0" axis="axisValues" fieldPosition="0"/>
    </format>
    <format dxfId="35">
      <pivotArea field="8" type="button" dataOnly="0" labelOnly="1" outline="0" axis="axisRow" fieldPosition="0"/>
    </format>
    <format dxfId="34">
      <pivotArea dataOnly="0" labelOnly="1" outline="0" axis="axisValues" fieldPosition="0"/>
    </format>
    <format dxfId="33">
      <pivotArea dataOnly="0" grandRow="1" axis="axisRow"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0D15A1-BE29-4123-99E9-4CB1EB2273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4:B41" firstHeaderRow="1" firstDataRow="1" firstDataCol="1"/>
  <pivotFields count="13">
    <pivotField showAll="0"/>
    <pivotField showAll="0"/>
    <pivotField showAll="0"/>
    <pivotField showAll="0"/>
    <pivotField showAll="0"/>
    <pivotField showAll="0"/>
    <pivotField dataField="1" numFmtId="164" showAll="0"/>
    <pivotField showAll="0"/>
    <pivotField showAll="0">
      <items count="5">
        <item x="0"/>
        <item x="1"/>
        <item x="2"/>
        <item x="3"/>
        <item t="default"/>
      </items>
    </pivotField>
    <pivotField axis="axisRow" showAll="0">
      <items count="9">
        <item x="2"/>
        <item x="5"/>
        <item x="0"/>
        <item x="1"/>
        <item x="3"/>
        <item x="4"/>
        <item m="1" x="7"/>
        <item x="6"/>
        <item t="default"/>
      </items>
    </pivotField>
    <pivotField showAll="0"/>
    <pivotField showAll="0">
      <items count="7">
        <item h="1" x="1"/>
        <item x="0"/>
        <item h="1" x="3"/>
        <item h="1" x="2"/>
        <item h="1" x="4"/>
        <item h="1" x="5"/>
        <item t="default"/>
      </items>
    </pivotField>
    <pivotField numFmtId="164" showAll="0"/>
  </pivotFields>
  <rowFields count="1">
    <field x="9"/>
  </rowFields>
  <rowItems count="7">
    <i>
      <x/>
    </i>
    <i>
      <x v="1"/>
    </i>
    <i>
      <x v="2"/>
    </i>
    <i>
      <x v="3"/>
    </i>
    <i>
      <x v="4"/>
    </i>
    <i>
      <x v="5"/>
    </i>
    <i t="grand">
      <x/>
    </i>
  </rowItems>
  <colItems count="1">
    <i/>
  </colItems>
  <dataFields count="1">
    <dataField name="Average of Salary" fld="6" subtotal="average" baseField="9" baseItem="0" numFmtId="164"/>
  </dataFields>
  <formats count="3">
    <format dxfId="40">
      <pivotArea field="9" type="button" dataOnly="0" labelOnly="1" outline="0" axis="axisRow" fieldPosition="0"/>
    </format>
    <format dxfId="39">
      <pivotArea dataOnly="0" labelOnly="1" outline="0" axis="axisValues" fieldPosition="0"/>
    </format>
    <format dxfId="38">
      <pivotArea dataOnly="0" grandRow="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D41BC2-5592-415B-BFAC-DF47C9A01B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5:H56" firstHeaderRow="0" firstDataRow="1" firstDataCol="0"/>
  <pivotFields count="13">
    <pivotField dataField="1" showAll="0"/>
    <pivotField showAll="0"/>
    <pivotField showAll="0"/>
    <pivotField showAll="0"/>
    <pivotField showAll="0"/>
    <pivotField showAll="0"/>
    <pivotField dataField="1" numFmtId="164" showAll="0"/>
    <pivotField showAll="0"/>
    <pivotField showAll="0">
      <items count="5">
        <item x="0"/>
        <item x="1"/>
        <item x="2"/>
        <item x="3"/>
        <item t="default"/>
      </items>
    </pivotField>
    <pivotField showAll="0">
      <items count="9">
        <item x="2"/>
        <item x="5"/>
        <item x="0"/>
        <item x="1"/>
        <item x="3"/>
        <item x="4"/>
        <item m="1" x="7"/>
        <item x="6"/>
        <item t="default"/>
      </items>
    </pivotField>
    <pivotField showAll="0"/>
    <pivotField showAll="0">
      <items count="7">
        <item h="1" x="1"/>
        <item x="0"/>
        <item h="1" x="3"/>
        <item h="1" x="2"/>
        <item h="1" x="4"/>
        <item h="1" x="5"/>
        <item t="default"/>
      </items>
    </pivotField>
    <pivotField numFmtId="164" showAll="0"/>
  </pivotFields>
  <rowItems count="1">
    <i/>
  </rowItems>
  <colFields count="1">
    <field x="-2"/>
  </colFields>
  <colItems count="2">
    <i>
      <x/>
    </i>
    <i i="1">
      <x v="1"/>
    </i>
  </colItems>
  <dataFields count="2">
    <dataField name="Count of EMP ID" fld="0" subtotal="count" baseField="0" baseItem="0"/>
    <dataField name="Average of Salary" fld="6" subtotal="average" baseField="0" baseItem="0" numFmtId="165"/>
  </dataFields>
  <formats count="2">
    <format dxfId="42">
      <pivotArea outline="0" collapsedLevelsAreSubtotals="1" fieldPosition="0">
        <references count="1">
          <reference field="4294967294" count="1" selected="0">
            <x v="1"/>
          </reference>
        </references>
      </pivotArea>
    </format>
    <format dxfId="4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F5A5FF-874A-4EAE-90D6-1E1064508B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4:H51" firstHeaderRow="1" firstDataRow="1" firstDataCol="1"/>
  <pivotFields count="13">
    <pivotField dataField="1" showAll="0"/>
    <pivotField showAll="0"/>
    <pivotField showAll="0"/>
    <pivotField showAll="0"/>
    <pivotField showAll="0"/>
    <pivotField showAll="0"/>
    <pivotField numFmtId="164" showAll="0"/>
    <pivotField showAll="0"/>
    <pivotField showAll="0">
      <items count="5">
        <item x="0"/>
        <item x="1"/>
        <item x="2"/>
        <item x="3"/>
        <item t="default"/>
      </items>
    </pivotField>
    <pivotField axis="axisRow" showAll="0">
      <items count="9">
        <item x="2"/>
        <item x="5"/>
        <item x="0"/>
        <item x="1"/>
        <item x="3"/>
        <item x="4"/>
        <item m="1" x="7"/>
        <item x="6"/>
        <item t="default"/>
      </items>
    </pivotField>
    <pivotField showAll="0"/>
    <pivotField showAll="0">
      <items count="7">
        <item h="1" x="1"/>
        <item x="0"/>
        <item h="1" x="3"/>
        <item h="1" x="2"/>
        <item h="1" x="4"/>
        <item h="1" x="5"/>
        <item t="default"/>
      </items>
    </pivotField>
    <pivotField numFmtId="164" showAll="0"/>
  </pivotFields>
  <rowFields count="1">
    <field x="9"/>
  </rowFields>
  <rowItems count="7">
    <i>
      <x/>
    </i>
    <i>
      <x v="1"/>
    </i>
    <i>
      <x v="2"/>
    </i>
    <i>
      <x v="3"/>
    </i>
    <i>
      <x v="4"/>
    </i>
    <i>
      <x v="5"/>
    </i>
    <i t="grand">
      <x/>
    </i>
  </rowItems>
  <colItems count="1">
    <i/>
  </colItems>
  <dataFields count="1">
    <dataField name="Count of EMP ID" fld="0" subtotal="count" baseField="0" baseItem="0"/>
  </dataFields>
  <formats count="3">
    <format dxfId="45">
      <pivotArea field="9" type="button" dataOnly="0" labelOnly="1" outline="0" axis="axisRow" fieldPosition="0"/>
    </format>
    <format dxfId="44">
      <pivotArea dataOnly="0" labelOnly="1" outline="0" axis="axisValues" fieldPosition="0"/>
    </format>
    <format dxfId="43">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F847CB67-035D-4026-A83E-B25F17565717}" sourceName="EmploymentStatus">
  <pivotTables>
    <pivotTable tabId="5" name="PivotTable1"/>
    <pivotTable tabId="5" name="PivotTable6"/>
    <pivotTable tabId="5" name="PivotTable7"/>
    <pivotTable tabId="5" name="PivotTable8"/>
    <pivotTable tabId="5" name="PivotTable9"/>
    <pivotTable tabId="5" name="PivotTable3"/>
  </pivotTables>
  <data>
    <tabular pivotCacheId="1593418324">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5EB3BC6D-D2FE-42BC-9B4B-E22F5129E48D}" sourceName="Department Name">
  <pivotTables>
    <pivotTable tabId="5" name="PivotTable1"/>
    <pivotTable tabId="5" name="PivotTable6"/>
    <pivotTable tabId="5" name="PivotTable7"/>
    <pivotTable tabId="5" name="PivotTable8"/>
    <pivotTable tabId="5" name="PivotTable9"/>
    <pivotTable tabId="5" name="PivotTable3"/>
  </pivotTables>
  <data>
    <tabular pivotCacheId="1593418324">
      <items count="8">
        <i x="2" s="1"/>
        <i x="5" s="1"/>
        <i x="0" s="1"/>
        <i x="1" s="1"/>
        <i x="3" s="1"/>
        <i x="4" s="1"/>
        <i x="7" s="1" nd="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44F12925-C821-4B5C-8378-5891646A0BC8}" sourceName="Performance Band">
  <pivotTables>
    <pivotTable tabId="5" name="PivotTable1"/>
    <pivotTable tabId="5" name="PivotTable6"/>
    <pivotTable tabId="5" name="PivotTable7"/>
    <pivotTable tabId="5" name="PivotTable8"/>
    <pivotTable tabId="5" name="PivotTable9"/>
    <pivotTable tabId="5" name="PivotTable3"/>
  </pivotTables>
  <data>
    <tabular pivotCacheId="1593418324">
      <items count="6">
        <i x="1"/>
        <i x="0" s="1"/>
        <i x="3"/>
        <i x="2"/>
        <i x="4"/>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xr10:uid="{C080A7C8-0AA2-4F8E-9BC7-B6ABE43B5287}" cache="Slicer_EmploymentStatus" caption="EmploymentStatus" style="SlicerStyleLight3" rowHeight="241300"/>
  <slicer name="Department Name" xr10:uid="{9AD3BD69-A031-4A58-9BE7-2A631B913F31}" cache="Slicer_Department_Name" caption="Department Name" style="SlicerStyleLight3" rowHeight="241300"/>
  <slicer name="Performance Band" xr10:uid="{B280786F-AD60-4A07-BC33-76421EB02001}" cache="Slicer_Performance_Band" caption="Performance Band"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21E905-B634-423C-BCB2-B3EC838C4755}" name="Table2" displayName="Table2" ref="A1:L151" totalsRowShown="0" headerRowDxfId="62" dataDxfId="60" headerRowBorderDxfId="61" tableBorderDxfId="59" totalsRowBorderDxfId="58">
  <autoFilter ref="A1:L151" xr:uid="{3421E905-B634-423C-BCB2-B3EC838C4755}"/>
  <tableColumns count="12">
    <tableColumn id="1" xr3:uid="{371DF3F4-5164-47D8-B2AB-593F916F63D7}" name="Emp ID" dataDxfId="57"/>
    <tableColumn id="2" xr3:uid="{9E69E007-185D-4D10-A6C0-27E4556ED75C}" name="Full Name" dataDxfId="56"/>
    <tableColumn id="3" xr3:uid="{C3164FBD-23F0-4BAF-956B-DCAAEA2354C9}" name="Dept Code" dataDxfId="55"/>
    <tableColumn id="5" xr3:uid="{941EF5D7-5145-49B1-9613-AC017D717F38}" name="Hire Date" dataDxfId="54"/>
    <tableColumn id="6" xr3:uid="{DB834690-78EE-4C02-AC00-5A58598E4D07}" name="Years of Service" dataDxfId="53">
      <calculatedColumnFormula>DATEDIF(D2,TODAY(),"Y")&amp;" Years, "&amp;DATEDIF(D2,TODAY(),"YM")&amp;" Months"</calculatedColumnFormula>
    </tableColumn>
    <tableColumn id="7" xr3:uid="{69210F8F-B35E-4F13-87ED-0D3A82207F2A}" name="Salary" dataDxfId="52"/>
    <tableColumn id="8" xr3:uid="{71394137-5DA5-4C7A-844B-0881AF8E44C6}" name="Perf_Score" dataDxfId="51"/>
    <tableColumn id="9" xr3:uid="{CC17711B-0931-456B-A672-644E3947E512}" name="Employment Status" dataDxfId="50"/>
    <tableColumn id="10" xr3:uid="{0809F8C3-44F0-42EB-9606-2F43DA259B1B}" name="Department_Name" dataDxfId="49">
      <calculatedColumnFormula>VLOOKUP(TRIM(C2),'Lookup Department'!$A$1:$B$7,2,FALSE)</calculatedColumnFormula>
    </tableColumn>
    <tableColumn id="11" xr3:uid="{292AF000-772B-4FD0-9108-A3B040308904}" name="Performance Bond" dataDxfId="48">
      <calculatedColumnFormula>IF(G2&lt;=49,"Needs Improvement",
IF(G2&lt;=69,"Developing",
IF(G2&lt;=84,"Achieving",
IF(G2&lt;=94,"Exceeding",
"Outstanding"))))</calculatedColumnFormula>
    </tableColumn>
    <tableColumn id="12" xr3:uid="{6A8577B0-2946-4F63-868F-3BEA627AD390}" name="Eligible Bonus Amount" dataDxfId="47">
      <calculatedColumnFormula>IF(J2="Needs Improvement",F2*0,
IF(J2="Developing",F2*0.02,
IF(J2="Achieving",F2*0.05,
IF(J2="Exceeding",F2*0.08,
IF(J2="Outstanding",F2*0.12,0)))))</calculatedColumnFormula>
    </tableColumn>
    <tableColumn id="4" xr3:uid="{58262229-EA78-45B1-B2FD-071CF7FFDA85}" name="Attrition Rate" dataDxfId="46">
      <calculatedColumnFormula array="1">_xlfn.IFS(Table2[[#This Row],[Employment Status]]="Left","Yes",Table2[[#This Row],[Employment Status]]="Resigned","Yes","TRUE","No")</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C23" sqref="C23"/>
    </sheetView>
  </sheetViews>
  <sheetFormatPr defaultRowHeight="15" x14ac:dyDescent="0.25"/>
  <cols>
    <col min="1" max="1" width="22.85546875" customWidth="1"/>
    <col min="2" max="2" width="32.7109375" customWidth="1"/>
    <col min="3" max="3" width="28.85546875" customWidth="1"/>
  </cols>
  <sheetData>
    <row r="1" spans="1:3" x14ac:dyDescent="0.25">
      <c r="A1" s="1" t="s">
        <v>172</v>
      </c>
      <c r="B1" s="1" t="s">
        <v>173</v>
      </c>
    </row>
    <row r="2" spans="1:3" x14ac:dyDescent="0.25">
      <c r="A2" t="s">
        <v>52</v>
      </c>
      <c r="B2" t="s">
        <v>174</v>
      </c>
      <c r="C2" t="str">
        <f t="shared" ref="C2:C7" si="0">VLOOKUP(A2,A1:B7,2,FALSE)</f>
        <v>Human Resources</v>
      </c>
    </row>
    <row r="3" spans="1:3" x14ac:dyDescent="0.25">
      <c r="A3" t="s">
        <v>7</v>
      </c>
      <c r="B3" t="s">
        <v>175</v>
      </c>
      <c r="C3" t="str">
        <f t="shared" si="0"/>
        <v>Information Technology</v>
      </c>
    </row>
    <row r="4" spans="1:3" x14ac:dyDescent="0.25">
      <c r="A4" t="s">
        <v>13</v>
      </c>
      <c r="B4" t="s">
        <v>176</v>
      </c>
      <c r="C4" t="str">
        <f t="shared" si="0"/>
        <v>Finance</v>
      </c>
    </row>
    <row r="5" spans="1:3" x14ac:dyDescent="0.25">
      <c r="A5" t="s">
        <v>9</v>
      </c>
      <c r="B5" t="s">
        <v>177</v>
      </c>
      <c r="C5" t="str">
        <f t="shared" si="0"/>
        <v>Marketing</v>
      </c>
    </row>
    <row r="6" spans="1:3" x14ac:dyDescent="0.25">
      <c r="A6" t="s">
        <v>23</v>
      </c>
      <c r="B6" t="s">
        <v>178</v>
      </c>
      <c r="C6" t="str">
        <f t="shared" si="0"/>
        <v>Sales</v>
      </c>
    </row>
    <row r="7" spans="1:3" x14ac:dyDescent="0.25">
      <c r="A7" t="s">
        <v>17</v>
      </c>
      <c r="B7" t="s">
        <v>179</v>
      </c>
      <c r="C7" t="str">
        <f t="shared" si="0"/>
        <v>Operations</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8" sqref="D8"/>
    </sheetView>
  </sheetViews>
  <sheetFormatPr defaultRowHeight="15" x14ac:dyDescent="0.25"/>
  <cols>
    <col min="1" max="1" width="16.28515625" customWidth="1"/>
    <col min="2" max="2" width="18" customWidth="1"/>
    <col min="3" max="3" width="21" customWidth="1"/>
    <col min="4" max="4" width="15.85546875" customWidth="1"/>
  </cols>
  <sheetData>
    <row r="1" spans="1:4" x14ac:dyDescent="0.25">
      <c r="A1" s="1" t="s">
        <v>180</v>
      </c>
      <c r="B1" s="1" t="s">
        <v>181</v>
      </c>
      <c r="C1" s="1" t="s">
        <v>182</v>
      </c>
      <c r="D1" s="1" t="s">
        <v>183</v>
      </c>
    </row>
    <row r="2" spans="1:4" x14ac:dyDescent="0.25">
      <c r="A2">
        <v>0</v>
      </c>
      <c r="B2">
        <v>49</v>
      </c>
      <c r="C2" t="s">
        <v>184</v>
      </c>
      <c r="D2">
        <v>0</v>
      </c>
    </row>
    <row r="3" spans="1:4" x14ac:dyDescent="0.25">
      <c r="A3">
        <v>50</v>
      </c>
      <c r="B3">
        <v>69</v>
      </c>
      <c r="C3" t="s">
        <v>185</v>
      </c>
      <c r="D3">
        <v>0.02</v>
      </c>
    </row>
    <row r="4" spans="1:4" x14ac:dyDescent="0.25">
      <c r="A4">
        <v>70</v>
      </c>
      <c r="B4">
        <v>84</v>
      </c>
      <c r="C4" t="s">
        <v>186</v>
      </c>
      <c r="D4">
        <v>0.05</v>
      </c>
    </row>
    <row r="5" spans="1:4" x14ac:dyDescent="0.25">
      <c r="A5">
        <v>85</v>
      </c>
      <c r="B5">
        <v>94</v>
      </c>
      <c r="C5" t="s">
        <v>187</v>
      </c>
      <c r="D5">
        <v>0.08</v>
      </c>
    </row>
    <row r="6" spans="1:4" x14ac:dyDescent="0.25">
      <c r="A6">
        <v>95</v>
      </c>
      <c r="B6">
        <v>100</v>
      </c>
      <c r="C6" t="s">
        <v>188</v>
      </c>
      <c r="D6">
        <v>0.12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E2AF9-6E14-4467-AEB9-291D6B8010B2}">
  <dimension ref="A3:Q56"/>
  <sheetViews>
    <sheetView tabSelected="1" zoomScale="72" workbookViewId="0">
      <selection activeCell="G17" sqref="G17"/>
    </sheetView>
  </sheetViews>
  <sheetFormatPr defaultRowHeight="15" x14ac:dyDescent="0.25"/>
  <cols>
    <col min="1" max="1" width="18.85546875" bestFit="1" customWidth="1"/>
    <col min="2" max="2" width="29.7109375" bestFit="1" customWidth="1"/>
    <col min="3" max="3" width="19.140625" bestFit="1" customWidth="1"/>
    <col min="4" max="5" width="17.42578125" customWidth="1"/>
    <col min="7" max="7" width="33.5703125" customWidth="1"/>
    <col min="8" max="8" width="23.7109375" bestFit="1" customWidth="1"/>
    <col min="9" max="9" width="6.7109375" bestFit="1" customWidth="1"/>
    <col min="10" max="10" width="16.42578125" bestFit="1" customWidth="1"/>
    <col min="11" max="11" width="29.7109375" bestFit="1" customWidth="1"/>
    <col min="12" max="12" width="39.85546875" customWidth="1"/>
    <col min="13" max="13" width="11.28515625" bestFit="1" customWidth="1"/>
    <col min="14" max="17" width="8" bestFit="1" customWidth="1"/>
    <col min="18" max="18" width="25.140625" bestFit="1" customWidth="1"/>
    <col min="19" max="19" width="17" bestFit="1" customWidth="1"/>
    <col min="20" max="20" width="13.85546875" customWidth="1"/>
    <col min="21" max="21" width="21" customWidth="1"/>
    <col min="22" max="157" width="8" bestFit="1" customWidth="1"/>
    <col min="158" max="158" width="11.28515625" bestFit="1" customWidth="1"/>
  </cols>
  <sheetData>
    <row r="3" spans="1:13" x14ac:dyDescent="0.25">
      <c r="A3" s="38" t="s">
        <v>310</v>
      </c>
      <c r="B3" s="38"/>
      <c r="G3" s="38" t="s">
        <v>312</v>
      </c>
      <c r="H3" s="38"/>
    </row>
    <row r="5" spans="1:13" x14ac:dyDescent="0.25">
      <c r="A5" s="6" t="s">
        <v>306</v>
      </c>
      <c r="B5" s="6" t="s">
        <v>303</v>
      </c>
      <c r="G5" s="6" t="s">
        <v>305</v>
      </c>
      <c r="H5" s="10" t="s">
        <v>304</v>
      </c>
      <c r="I5" s="6"/>
    </row>
    <row r="6" spans="1:13" x14ac:dyDescent="0.25">
      <c r="A6" s="5" t="s">
        <v>176</v>
      </c>
      <c r="B6">
        <v>17</v>
      </c>
      <c r="G6" s="5" t="s">
        <v>186</v>
      </c>
      <c r="H6" s="11">
        <v>164994.30750000002</v>
      </c>
    </row>
    <row r="7" spans="1:13" x14ac:dyDescent="0.25">
      <c r="A7" s="5" t="s">
        <v>174</v>
      </c>
      <c r="B7">
        <v>18</v>
      </c>
      <c r="G7" s="5" t="s">
        <v>185</v>
      </c>
      <c r="H7" s="11">
        <v>84450.788800000009</v>
      </c>
    </row>
    <row r="8" spans="1:13" x14ac:dyDescent="0.25">
      <c r="A8" s="5" t="s">
        <v>175</v>
      </c>
      <c r="B8">
        <v>36</v>
      </c>
      <c r="G8" s="5" t="s">
        <v>187</v>
      </c>
      <c r="H8" s="11">
        <v>144546.94880000001</v>
      </c>
    </row>
    <row r="9" spans="1:13" x14ac:dyDescent="0.25">
      <c r="A9" s="5" t="s">
        <v>177</v>
      </c>
      <c r="B9">
        <v>19</v>
      </c>
      <c r="G9" s="5" t="s">
        <v>184</v>
      </c>
      <c r="H9" s="11">
        <v>0</v>
      </c>
    </row>
    <row r="10" spans="1:13" x14ac:dyDescent="0.25">
      <c r="A10" s="5" t="s">
        <v>179</v>
      </c>
      <c r="B10">
        <v>29</v>
      </c>
      <c r="G10" s="5" t="s">
        <v>188</v>
      </c>
      <c r="H10" s="11">
        <v>92304.651600000012</v>
      </c>
    </row>
    <row r="11" spans="1:13" x14ac:dyDescent="0.25">
      <c r="A11" s="5" t="s">
        <v>178</v>
      </c>
      <c r="B11">
        <v>31</v>
      </c>
      <c r="G11" s="7" t="s">
        <v>302</v>
      </c>
      <c r="H11" s="10">
        <v>486296.69670000009</v>
      </c>
    </row>
    <row r="12" spans="1:13" x14ac:dyDescent="0.25">
      <c r="A12" s="7" t="s">
        <v>302</v>
      </c>
      <c r="B12" s="6">
        <v>150</v>
      </c>
    </row>
    <row r="13" spans="1:13" x14ac:dyDescent="0.25">
      <c r="A13" s="8"/>
      <c r="B13" s="9"/>
    </row>
    <row r="14" spans="1:13" x14ac:dyDescent="0.25">
      <c r="G14" s="39" t="s">
        <v>313</v>
      </c>
      <c r="H14" s="39"/>
      <c r="I14" s="39"/>
      <c r="J14" s="39"/>
      <c r="K14" s="39"/>
      <c r="L14" s="39"/>
      <c r="M14" s="39"/>
    </row>
    <row r="16" spans="1:13" x14ac:dyDescent="0.25">
      <c r="G16" s="6" t="s">
        <v>308</v>
      </c>
      <c r="H16" s="6" t="s">
        <v>307</v>
      </c>
      <c r="I16" s="6"/>
      <c r="J16" s="6"/>
    </row>
    <row r="17" spans="1:17" x14ac:dyDescent="0.25">
      <c r="G17" s="6" t="s">
        <v>315</v>
      </c>
      <c r="H17" s="6" t="s">
        <v>318</v>
      </c>
      <c r="I17" s="6" t="s">
        <v>319</v>
      </c>
      <c r="J17" s="6" t="s">
        <v>302</v>
      </c>
      <c r="Q17" s="2"/>
    </row>
    <row r="18" spans="1:17" x14ac:dyDescent="0.25">
      <c r="G18" s="5" t="s">
        <v>176</v>
      </c>
      <c r="H18" s="33">
        <v>0.82352941176470584</v>
      </c>
      <c r="I18" s="33">
        <v>0.17647058823529413</v>
      </c>
      <c r="J18" s="33">
        <v>1</v>
      </c>
    </row>
    <row r="19" spans="1:17" x14ac:dyDescent="0.25">
      <c r="G19" s="5" t="s">
        <v>174</v>
      </c>
      <c r="H19" s="33">
        <v>0.83333333333333337</v>
      </c>
      <c r="I19" s="33">
        <v>0.16666666666666666</v>
      </c>
      <c r="J19" s="33">
        <v>1</v>
      </c>
    </row>
    <row r="20" spans="1:17" x14ac:dyDescent="0.25">
      <c r="G20" s="5" t="s">
        <v>175</v>
      </c>
      <c r="H20" s="33">
        <v>0.77777777777777779</v>
      </c>
      <c r="I20" s="33">
        <v>0.22222222222222221</v>
      </c>
      <c r="J20" s="33">
        <v>1</v>
      </c>
    </row>
    <row r="21" spans="1:17" x14ac:dyDescent="0.25">
      <c r="G21" s="5" t="s">
        <v>177</v>
      </c>
      <c r="H21" s="33">
        <v>0.84210526315789469</v>
      </c>
      <c r="I21" s="33">
        <v>0.15789473684210525</v>
      </c>
      <c r="J21" s="33">
        <v>1</v>
      </c>
    </row>
    <row r="22" spans="1:17" x14ac:dyDescent="0.25">
      <c r="G22" s="5" t="s">
        <v>179</v>
      </c>
      <c r="H22" s="33">
        <v>0.62068965517241381</v>
      </c>
      <c r="I22" s="33">
        <v>0.37931034482758619</v>
      </c>
      <c r="J22" s="33">
        <v>1</v>
      </c>
    </row>
    <row r="23" spans="1:17" x14ac:dyDescent="0.25">
      <c r="A23" s="6" t="s">
        <v>311</v>
      </c>
      <c r="B23" s="6"/>
      <c r="G23" s="5" t="s">
        <v>178</v>
      </c>
      <c r="H23" s="33">
        <v>0.80645161290322576</v>
      </c>
      <c r="I23" s="33">
        <v>0.19354838709677419</v>
      </c>
      <c r="J23" s="33">
        <v>1</v>
      </c>
    </row>
    <row r="24" spans="1:17" x14ac:dyDescent="0.25">
      <c r="G24" s="7" t="s">
        <v>302</v>
      </c>
      <c r="H24" s="34">
        <v>0.77333333333333332</v>
      </c>
      <c r="I24" s="34">
        <v>0.22666666666666666</v>
      </c>
      <c r="J24" s="34">
        <v>1</v>
      </c>
      <c r="K24" s="35">
        <f>GETPIVOTDATA("Emp ID",$G$16,"Attrition Rate","Yes")</f>
        <v>0.22666666666666666</v>
      </c>
    </row>
    <row r="25" spans="1:17" x14ac:dyDescent="0.25">
      <c r="A25" s="6" t="s">
        <v>5</v>
      </c>
      <c r="B25" s="6" t="s">
        <v>309</v>
      </c>
    </row>
    <row r="26" spans="1:17" x14ac:dyDescent="0.25">
      <c r="A26" s="5" t="s">
        <v>24</v>
      </c>
      <c r="B26">
        <v>67.741379310344826</v>
      </c>
    </row>
    <row r="27" spans="1:17" x14ac:dyDescent="0.25">
      <c r="A27" s="5" t="s">
        <v>15</v>
      </c>
      <c r="B27">
        <v>66.208333333333329</v>
      </c>
    </row>
    <row r="28" spans="1:17" x14ac:dyDescent="0.25">
      <c r="A28" s="7" t="s">
        <v>302</v>
      </c>
      <c r="B28" s="6">
        <v>67.478571428571428</v>
      </c>
    </row>
    <row r="34" spans="1:12" x14ac:dyDescent="0.25">
      <c r="A34" s="6" t="s">
        <v>315</v>
      </c>
      <c r="B34" s="6" t="s">
        <v>316</v>
      </c>
      <c r="G34" s="6" t="s">
        <v>315</v>
      </c>
      <c r="H34" s="6" t="s">
        <v>314</v>
      </c>
    </row>
    <row r="35" spans="1:12" x14ac:dyDescent="0.25">
      <c r="A35" s="5" t="s">
        <v>176</v>
      </c>
      <c r="B35" s="11">
        <v>92544.107499999998</v>
      </c>
      <c r="G35" s="5" t="s">
        <v>176</v>
      </c>
      <c r="H35">
        <v>8</v>
      </c>
    </row>
    <row r="36" spans="1:12" x14ac:dyDescent="0.25">
      <c r="A36" s="5" t="s">
        <v>174</v>
      </c>
      <c r="B36" s="11">
        <v>100093</v>
      </c>
      <c r="G36" s="5" t="s">
        <v>174</v>
      </c>
      <c r="H36">
        <v>2</v>
      </c>
    </row>
    <row r="37" spans="1:12" x14ac:dyDescent="0.25">
      <c r="A37" s="5" t="s">
        <v>175</v>
      </c>
      <c r="B37" s="11">
        <v>82747.923999999985</v>
      </c>
      <c r="G37" s="5" t="s">
        <v>175</v>
      </c>
      <c r="H37">
        <v>15</v>
      </c>
      <c r="J37" s="6" t="s">
        <v>308</v>
      </c>
    </row>
    <row r="38" spans="1:12" x14ac:dyDescent="0.25">
      <c r="A38" s="5" t="s">
        <v>177</v>
      </c>
      <c r="B38" s="11">
        <v>94072.5</v>
      </c>
      <c r="G38" s="5" t="s">
        <v>177</v>
      </c>
      <c r="H38">
        <v>2</v>
      </c>
      <c r="J38" s="9">
        <v>150</v>
      </c>
      <c r="K38" s="36">
        <f>GETPIVOTDATA("Emp ID",$J$37)</f>
        <v>150</v>
      </c>
    </row>
    <row r="39" spans="1:12" x14ac:dyDescent="0.25">
      <c r="A39" s="5" t="s">
        <v>179</v>
      </c>
      <c r="B39" s="11">
        <v>91356.5</v>
      </c>
      <c r="G39" s="5" t="s">
        <v>179</v>
      </c>
      <c r="H39">
        <v>4</v>
      </c>
    </row>
    <row r="40" spans="1:12" x14ac:dyDescent="0.25">
      <c r="A40" s="5" t="s">
        <v>178</v>
      </c>
      <c r="B40" s="11">
        <v>83329.372000000003</v>
      </c>
      <c r="G40" s="5" t="s">
        <v>178</v>
      </c>
      <c r="H40">
        <v>10</v>
      </c>
    </row>
    <row r="41" spans="1:12" x14ac:dyDescent="0.25">
      <c r="A41" s="7" t="s">
        <v>302</v>
      </c>
      <c r="B41" s="10">
        <v>87039.571707317096</v>
      </c>
      <c r="C41" s="37">
        <f>GETPIVOTDATA("Salary",$A$34)</f>
        <v>87039.571707317096</v>
      </c>
      <c r="G41" s="7" t="s">
        <v>302</v>
      </c>
      <c r="H41" s="6">
        <v>41</v>
      </c>
    </row>
    <row r="44" spans="1:12" x14ac:dyDescent="0.25">
      <c r="G44" s="6" t="s">
        <v>315</v>
      </c>
      <c r="H44" s="6" t="s">
        <v>317</v>
      </c>
    </row>
    <row r="45" spans="1:12" x14ac:dyDescent="0.25">
      <c r="G45" s="5" t="s">
        <v>176</v>
      </c>
      <c r="H45">
        <v>8</v>
      </c>
      <c r="K45" s="40" t="s">
        <v>315</v>
      </c>
      <c r="L45" s="6" t="s">
        <v>316</v>
      </c>
    </row>
    <row r="46" spans="1:12" x14ac:dyDescent="0.25">
      <c r="G46" s="5" t="s">
        <v>174</v>
      </c>
      <c r="H46">
        <v>2</v>
      </c>
      <c r="K46" s="5" t="s">
        <v>176</v>
      </c>
      <c r="L46" s="11">
        <v>92544.107499999998</v>
      </c>
    </row>
    <row r="47" spans="1:12" x14ac:dyDescent="0.25">
      <c r="G47" s="5" t="s">
        <v>175</v>
      </c>
      <c r="H47">
        <v>15</v>
      </c>
      <c r="K47" s="5" t="s">
        <v>174</v>
      </c>
      <c r="L47" s="11">
        <v>100093</v>
      </c>
    </row>
    <row r="48" spans="1:12" x14ac:dyDescent="0.25">
      <c r="A48" s="6" t="s">
        <v>315</v>
      </c>
      <c r="B48" s="6" t="s">
        <v>309</v>
      </c>
      <c r="G48" s="5" t="s">
        <v>177</v>
      </c>
      <c r="H48">
        <v>2</v>
      </c>
      <c r="K48" s="5" t="s">
        <v>175</v>
      </c>
      <c r="L48" s="11">
        <v>82747.923999999985</v>
      </c>
    </row>
    <row r="49" spans="1:12" x14ac:dyDescent="0.25">
      <c r="A49" s="5" t="s">
        <v>24</v>
      </c>
      <c r="B49" s="29">
        <v>60.272727272727273</v>
      </c>
      <c r="G49" s="5" t="s">
        <v>179</v>
      </c>
      <c r="H49">
        <v>4</v>
      </c>
      <c r="K49" s="5" t="s">
        <v>177</v>
      </c>
      <c r="L49" s="11">
        <v>94072.5</v>
      </c>
    </row>
    <row r="50" spans="1:12" x14ac:dyDescent="0.25">
      <c r="A50" s="5" t="s">
        <v>15</v>
      </c>
      <c r="B50" s="29">
        <v>57.833333333333336</v>
      </c>
      <c r="G50" s="5" t="s">
        <v>178</v>
      </c>
      <c r="H50">
        <v>10</v>
      </c>
      <c r="K50" s="5" t="s">
        <v>179</v>
      </c>
      <c r="L50" s="11">
        <v>91356.5</v>
      </c>
    </row>
    <row r="51" spans="1:12" x14ac:dyDescent="0.25">
      <c r="A51" s="5" t="s">
        <v>62</v>
      </c>
      <c r="B51" s="29">
        <v>60</v>
      </c>
      <c r="G51" s="7" t="s">
        <v>302</v>
      </c>
      <c r="H51" s="6">
        <v>41</v>
      </c>
      <c r="K51" s="5" t="s">
        <v>178</v>
      </c>
      <c r="L51" s="11">
        <v>83329.372000000003</v>
      </c>
    </row>
    <row r="52" spans="1:12" x14ac:dyDescent="0.25">
      <c r="A52" s="7" t="s">
        <v>302</v>
      </c>
      <c r="B52" s="30">
        <v>59.902439024390247</v>
      </c>
      <c r="K52" s="7" t="s">
        <v>302</v>
      </c>
      <c r="L52" s="10">
        <v>87039.571707317096</v>
      </c>
    </row>
    <row r="55" spans="1:12" x14ac:dyDescent="0.25">
      <c r="G55" s="6" t="s">
        <v>317</v>
      </c>
      <c r="H55" s="6" t="s">
        <v>316</v>
      </c>
    </row>
    <row r="56" spans="1:12" x14ac:dyDescent="0.25">
      <c r="G56">
        <v>41</v>
      </c>
      <c r="H56" s="31">
        <v>87039.571707317096</v>
      </c>
    </row>
  </sheetData>
  <mergeCells count="3">
    <mergeCell ref="A3:B3"/>
    <mergeCell ref="G3:H3"/>
    <mergeCell ref="G14:M14"/>
  </mergeCells>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D48E5-1670-4F4B-831D-2736CF591934}">
  <dimension ref="T15"/>
  <sheetViews>
    <sheetView showGridLines="0" zoomScale="72" workbookViewId="0">
      <selection activeCell="V29" sqref="V29"/>
    </sheetView>
  </sheetViews>
  <sheetFormatPr defaultRowHeight="15" x14ac:dyDescent="0.25"/>
  <sheetData>
    <row r="15" spans="20:20" x14ac:dyDescent="0.25">
      <c r="T15" t="s">
        <v>320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8"/>
  <sheetViews>
    <sheetView zoomScale="68" workbookViewId="0">
      <selection activeCell="J27" sqref="J27"/>
    </sheetView>
  </sheetViews>
  <sheetFormatPr defaultRowHeight="15" x14ac:dyDescent="0.25"/>
  <cols>
    <col min="1" max="1" width="18.42578125" customWidth="1"/>
    <col min="2" max="2" width="25.28515625" style="2" customWidth="1"/>
    <col min="3" max="3" width="30.85546875" style="2" customWidth="1"/>
    <col min="4" max="4" width="41" style="3" customWidth="1"/>
    <col min="5" max="5" width="51.140625" style="3" customWidth="1"/>
    <col min="6" max="6" width="24.5703125" style="4" customWidth="1"/>
    <col min="7" max="7" width="22.140625" customWidth="1"/>
    <col min="8" max="8" width="28.28515625" style="2" customWidth="1"/>
    <col min="9" max="9" width="28.7109375" style="2" customWidth="1"/>
    <col min="10" max="10" width="25.7109375" style="2" customWidth="1"/>
    <col min="11" max="11" width="52.140625" style="4" customWidth="1"/>
    <col min="12" max="12" width="23.42578125" customWidth="1"/>
  </cols>
  <sheetData>
    <row r="1" spans="1:12" x14ac:dyDescent="0.25">
      <c r="A1" s="18" t="s">
        <v>0</v>
      </c>
      <c r="B1" s="19" t="s">
        <v>189</v>
      </c>
      <c r="C1" s="19" t="s">
        <v>1</v>
      </c>
      <c r="D1" s="20" t="s">
        <v>2</v>
      </c>
      <c r="E1" s="20" t="s">
        <v>300</v>
      </c>
      <c r="F1" s="21" t="s">
        <v>3</v>
      </c>
      <c r="G1" s="19" t="s">
        <v>4</v>
      </c>
      <c r="H1" s="19" t="s">
        <v>5</v>
      </c>
      <c r="I1" s="19" t="s">
        <v>173</v>
      </c>
      <c r="J1" s="19" t="s">
        <v>299</v>
      </c>
      <c r="K1" s="22" t="s">
        <v>301</v>
      </c>
      <c r="L1" s="19" t="s">
        <v>313</v>
      </c>
    </row>
    <row r="2" spans="1:12" x14ac:dyDescent="0.25">
      <c r="A2" s="16" t="s">
        <v>6</v>
      </c>
      <c r="B2" s="13" t="s">
        <v>190</v>
      </c>
      <c r="C2" s="13" t="s">
        <v>7</v>
      </c>
      <c r="D2" s="14">
        <v>43093</v>
      </c>
      <c r="E2" s="14" t="str">
        <f ca="1">DATEDIF(D2,TODAY(),"Y")&amp;" Years, "&amp;DATEDIF(D2,TODAY(),"YM")&amp;" Months"</f>
        <v>8 Years, 6 Months</v>
      </c>
      <c r="F2" s="15">
        <v>50361</v>
      </c>
      <c r="G2" s="12">
        <v>52</v>
      </c>
      <c r="H2" s="13" t="s">
        <v>24</v>
      </c>
      <c r="I2" s="13" t="str">
        <f>VLOOKUP(TRIM(C2),'Lookup Department'!$A$1:$B$7,2,FALSE)</f>
        <v>Information Technology</v>
      </c>
      <c r="J2" s="13" t="str">
        <f t="shared" ref="J2:J33" si="0">IF(G2&lt;=49,"Needs Improvement",
IF(G2&lt;=69,"Developing",
IF(G2&lt;=84,"Achieving",
IF(G2&lt;=94,"Exceeding",
"Outstanding"))))</f>
        <v>Developing</v>
      </c>
      <c r="K2" s="17">
        <f t="shared" ref="K2:K33" si="1">IF(J2="Needs Improvement",F2*0,
IF(J2="Developing",F2*0.02,
IF(J2="Achieving",F2*0.05,
IF(J2="Exceeding",F2*0.08,
IF(J2="Outstanding",F2*0.12,0)))))</f>
        <v>1007.22</v>
      </c>
      <c r="L2" s="32" t="str" cm="1">
        <f t="array" ref="L2">_xlfn.IFS(Table2[[#This Row],[Employment Status]]="Left","Yes",Table2[[#This Row],[Employment Status]]="Resigned","Yes","TRUE","No")</f>
        <v>No</v>
      </c>
    </row>
    <row r="3" spans="1:12" x14ac:dyDescent="0.25">
      <c r="A3" s="16" t="s">
        <v>8</v>
      </c>
      <c r="B3" s="13" t="s">
        <v>191</v>
      </c>
      <c r="C3" s="13" t="s">
        <v>9</v>
      </c>
      <c r="D3" s="14">
        <v>44659</v>
      </c>
      <c r="E3" s="14" t="str">
        <f t="shared" ref="E3:E66" ca="1" si="2">DATEDIF(D3,TODAY(),"Y")&amp;" Years, "&amp;DATEDIF(D3,TODAY(),"YM")&amp;" Months"</f>
        <v>4 Years, 3 Months</v>
      </c>
      <c r="F3" s="15">
        <v>112673</v>
      </c>
      <c r="G3" s="12">
        <v>68</v>
      </c>
      <c r="H3" s="13" t="s">
        <v>24</v>
      </c>
      <c r="I3" s="13" t="str">
        <f>VLOOKUP(TRIM(C3),'Lookup Department'!$A$1:$B$7,2,FALSE)</f>
        <v>Marketing</v>
      </c>
      <c r="J3" s="13" t="str">
        <f t="shared" si="0"/>
        <v>Developing</v>
      </c>
      <c r="K3" s="17">
        <f t="shared" si="1"/>
        <v>2253.46</v>
      </c>
      <c r="L3" s="13" t="str" cm="1">
        <f t="array" ref="L3">_xlfn.IFS(Table2[[#This Row],[Employment Status]]="Left","Yes",Table2[[#This Row],[Employment Status]]="Resigned","Yes","TRUE","No")</f>
        <v>No</v>
      </c>
    </row>
    <row r="4" spans="1:12" x14ac:dyDescent="0.25">
      <c r="A4" s="16" t="s">
        <v>10</v>
      </c>
      <c r="B4" s="13" t="s">
        <v>192</v>
      </c>
      <c r="C4" s="13" t="s">
        <v>11</v>
      </c>
      <c r="D4" s="14">
        <v>42431</v>
      </c>
      <c r="E4" s="14" t="str">
        <f t="shared" ca="1" si="2"/>
        <v>10 Years, 4 Months</v>
      </c>
      <c r="F4" s="15">
        <v>114425</v>
      </c>
      <c r="G4" s="12">
        <v>54</v>
      </c>
      <c r="H4" s="13" t="s">
        <v>15</v>
      </c>
      <c r="I4" s="13" t="str">
        <f>VLOOKUP(TRIM(C4),'Lookup Department'!$A$1:$B$7,2,FALSE)</f>
        <v>Information Technology</v>
      </c>
      <c r="J4" s="13" t="str">
        <f t="shared" si="0"/>
        <v>Developing</v>
      </c>
      <c r="K4" s="17">
        <f t="shared" si="1"/>
        <v>2288.5</v>
      </c>
      <c r="L4" s="13" t="str" cm="1">
        <f t="array" ref="L4">_xlfn.IFS(Table2[[#This Row],[Employment Status]]="Left","Yes",Table2[[#This Row],[Employment Status]]="Resigned","Yes","TRUE","No")</f>
        <v>Yes</v>
      </c>
    </row>
    <row r="5" spans="1:12" x14ac:dyDescent="0.25">
      <c r="A5" s="16" t="s">
        <v>12</v>
      </c>
      <c r="B5" s="13" t="s">
        <v>193</v>
      </c>
      <c r="C5" s="13" t="s">
        <v>13</v>
      </c>
      <c r="D5" s="14">
        <v>45110</v>
      </c>
      <c r="E5" s="14" t="str">
        <f t="shared" ca="1" si="2"/>
        <v>3 Years, 0 Months</v>
      </c>
      <c r="F5" s="15">
        <v>103831</v>
      </c>
      <c r="G5" s="12">
        <v>70</v>
      </c>
      <c r="H5" s="13" t="s">
        <v>24</v>
      </c>
      <c r="I5" s="13" t="str">
        <f>VLOOKUP(TRIM(C5),'Lookup Department'!$A$1:$B$7,2,FALSE)</f>
        <v>Finance</v>
      </c>
      <c r="J5" s="13" t="str">
        <f t="shared" si="0"/>
        <v>Achieving</v>
      </c>
      <c r="K5" s="17">
        <f t="shared" si="1"/>
        <v>5191.55</v>
      </c>
      <c r="L5" s="13" t="str" cm="1">
        <f t="array" ref="L5">_xlfn.IFS(Table2[[#This Row],[Employment Status]]="Left","Yes",Table2[[#This Row],[Employment Status]]="Resigned","Yes","TRUE","No")</f>
        <v>No</v>
      </c>
    </row>
    <row r="6" spans="1:12" x14ac:dyDescent="0.25">
      <c r="A6" s="16" t="s">
        <v>14</v>
      </c>
      <c r="B6" s="13" t="s">
        <v>194</v>
      </c>
      <c r="C6" s="13" t="s">
        <v>7</v>
      </c>
      <c r="D6" s="14">
        <v>44977</v>
      </c>
      <c r="E6" s="14" t="str">
        <f t="shared" ca="1" si="2"/>
        <v>3 Years, 4 Months</v>
      </c>
      <c r="F6" s="15">
        <v>73785</v>
      </c>
      <c r="G6" s="12">
        <v>40</v>
      </c>
      <c r="H6" s="13" t="s">
        <v>15</v>
      </c>
      <c r="I6" s="13" t="str">
        <f>VLOOKUP(TRIM(C6),'Lookup Department'!$A$1:$B$7,2,FALSE)</f>
        <v>Information Technology</v>
      </c>
      <c r="J6" s="13" t="str">
        <f t="shared" si="0"/>
        <v>Needs Improvement</v>
      </c>
      <c r="K6" s="17">
        <f t="shared" si="1"/>
        <v>0</v>
      </c>
      <c r="L6" s="13" t="str" cm="1">
        <f t="array" ref="L6">_xlfn.IFS(Table2[[#This Row],[Employment Status]]="Left","Yes",Table2[[#This Row],[Employment Status]]="Resigned","Yes","TRUE","No")</f>
        <v>Yes</v>
      </c>
    </row>
    <row r="7" spans="1:12" x14ac:dyDescent="0.25">
      <c r="A7" s="16" t="s">
        <v>16</v>
      </c>
      <c r="B7" s="13" t="s">
        <v>195</v>
      </c>
      <c r="C7" s="13" t="s">
        <v>17</v>
      </c>
      <c r="D7" s="14">
        <v>43892</v>
      </c>
      <c r="E7" s="14" t="str">
        <f t="shared" ca="1" si="2"/>
        <v>6 Years, 4 Months</v>
      </c>
      <c r="F7" s="15">
        <v>115882</v>
      </c>
      <c r="G7" s="12">
        <v>49</v>
      </c>
      <c r="H7" s="13" t="s">
        <v>24</v>
      </c>
      <c r="I7" s="13" t="str">
        <f>VLOOKUP(TRIM(C7),'Lookup Department'!$A$1:$B$7,2,FALSE)</f>
        <v>Operations</v>
      </c>
      <c r="J7" s="13" t="str">
        <f t="shared" si="0"/>
        <v>Needs Improvement</v>
      </c>
      <c r="K7" s="17">
        <f t="shared" si="1"/>
        <v>0</v>
      </c>
      <c r="L7" s="13" t="str" cm="1">
        <f t="array" ref="L7">_xlfn.IFS(Table2[[#This Row],[Employment Status]]="Left","Yes",Table2[[#This Row],[Employment Status]]="Resigned","Yes","TRUE","No")</f>
        <v>No</v>
      </c>
    </row>
    <row r="8" spans="1:12" x14ac:dyDescent="0.25">
      <c r="A8" s="16" t="s">
        <v>18</v>
      </c>
      <c r="B8" s="13" t="s">
        <v>196</v>
      </c>
      <c r="C8" s="13" t="s">
        <v>19</v>
      </c>
      <c r="D8" s="14">
        <v>45272</v>
      </c>
      <c r="E8" s="14" t="str">
        <f t="shared" ca="1" si="2"/>
        <v>2 Years, 6 Months</v>
      </c>
      <c r="F8" s="15">
        <v>59980</v>
      </c>
      <c r="G8" s="12">
        <v>70</v>
      </c>
      <c r="H8" s="13" t="s">
        <v>15</v>
      </c>
      <c r="I8" s="13" t="str">
        <f>VLOOKUP(TRIM(C8),'Lookup Department'!$A$1:$B$7,2,FALSE)</f>
        <v>Operations</v>
      </c>
      <c r="J8" s="13" t="str">
        <f t="shared" si="0"/>
        <v>Achieving</v>
      </c>
      <c r="K8" s="17">
        <f t="shared" si="1"/>
        <v>2999</v>
      </c>
      <c r="L8" s="13" t="str" cm="1">
        <f t="array" ref="L8">_xlfn.IFS(Table2[[#This Row],[Employment Status]]="Left","Yes",Table2[[#This Row],[Employment Status]]="Resigned","Yes","TRUE","No")</f>
        <v>Yes</v>
      </c>
    </row>
    <row r="9" spans="1:12" x14ac:dyDescent="0.25">
      <c r="A9" s="16" t="s">
        <v>20</v>
      </c>
      <c r="B9" s="13" t="s">
        <v>197</v>
      </c>
      <c r="C9" s="13" t="s">
        <v>19</v>
      </c>
      <c r="D9" s="14">
        <v>44174</v>
      </c>
      <c r="E9" s="14" t="str">
        <f t="shared" ca="1" si="2"/>
        <v>5 Years, 6 Months</v>
      </c>
      <c r="F9" s="15">
        <v>68728</v>
      </c>
      <c r="G9" s="12">
        <v>45</v>
      </c>
      <c r="H9" s="13" t="s">
        <v>24</v>
      </c>
      <c r="I9" s="13" t="str">
        <f>VLOOKUP(TRIM(C9),'Lookup Department'!$A$1:$B$7,2,FALSE)</f>
        <v>Operations</v>
      </c>
      <c r="J9" s="13" t="str">
        <f t="shared" si="0"/>
        <v>Needs Improvement</v>
      </c>
      <c r="K9" s="17">
        <f t="shared" si="1"/>
        <v>0</v>
      </c>
      <c r="L9" s="13" t="str" cm="1">
        <f t="array" ref="L9">_xlfn.IFS(Table2[[#This Row],[Employment Status]]="Left","Yes",Table2[[#This Row],[Employment Status]]="Resigned","Yes","TRUE","No")</f>
        <v>No</v>
      </c>
    </row>
    <row r="10" spans="1:12" x14ac:dyDescent="0.25">
      <c r="A10" s="16" t="s">
        <v>21</v>
      </c>
      <c r="B10" s="13" t="s">
        <v>198</v>
      </c>
      <c r="C10" s="13" t="s">
        <v>13</v>
      </c>
      <c r="D10" s="14">
        <v>43107</v>
      </c>
      <c r="E10" s="14" t="str">
        <f t="shared" ca="1" si="2"/>
        <v>8 Years, 6 Months</v>
      </c>
      <c r="F10" s="15">
        <v>102139</v>
      </c>
      <c r="G10" s="12">
        <v>79</v>
      </c>
      <c r="H10" s="13" t="s">
        <v>24</v>
      </c>
      <c r="I10" s="13" t="str">
        <f>VLOOKUP(TRIM(C10),'Lookup Department'!$A$1:$B$7,2,FALSE)</f>
        <v>Finance</v>
      </c>
      <c r="J10" s="13" t="str">
        <f t="shared" si="0"/>
        <v>Achieving</v>
      </c>
      <c r="K10" s="17">
        <f t="shared" si="1"/>
        <v>5106.9500000000007</v>
      </c>
      <c r="L10" s="13" t="str" cm="1">
        <f t="array" ref="L10">_xlfn.IFS(Table2[[#This Row],[Employment Status]]="Left","Yes",Table2[[#This Row],[Employment Status]]="Resigned","Yes","TRUE","No")</f>
        <v>No</v>
      </c>
    </row>
    <row r="11" spans="1:12" x14ac:dyDescent="0.25">
      <c r="A11" s="16" t="s">
        <v>22</v>
      </c>
      <c r="B11" s="13" t="s">
        <v>199</v>
      </c>
      <c r="C11" s="13" t="s">
        <v>23</v>
      </c>
      <c r="D11" s="14">
        <v>42676</v>
      </c>
      <c r="E11" s="14" t="str">
        <f t="shared" ca="1" si="2"/>
        <v>9 Years, 8 Months</v>
      </c>
      <c r="F11" s="15">
        <v>94998</v>
      </c>
      <c r="G11" s="12">
        <v>58</v>
      </c>
      <c r="H11" s="13" t="s">
        <v>24</v>
      </c>
      <c r="I11" s="13" t="str">
        <f>VLOOKUP(TRIM(C11),'Lookup Department'!$A$1:$B$7,2,FALSE)</f>
        <v>Sales</v>
      </c>
      <c r="J11" s="13" t="str">
        <f t="shared" si="0"/>
        <v>Developing</v>
      </c>
      <c r="K11" s="17">
        <f t="shared" si="1"/>
        <v>1899.96</v>
      </c>
      <c r="L11" s="13" t="str" cm="1">
        <f t="array" ref="L11">_xlfn.IFS(Table2[[#This Row],[Employment Status]]="Left","Yes",Table2[[#This Row],[Employment Status]]="Resigned","Yes","TRUE","No")</f>
        <v>No</v>
      </c>
    </row>
    <row r="12" spans="1:12" x14ac:dyDescent="0.25">
      <c r="A12" s="16" t="s">
        <v>25</v>
      </c>
      <c r="B12" s="13" t="s">
        <v>200</v>
      </c>
      <c r="C12" s="13" t="s">
        <v>23</v>
      </c>
      <c r="D12" s="14">
        <v>43911</v>
      </c>
      <c r="E12" s="14" t="str">
        <f t="shared" ca="1" si="2"/>
        <v>6 Years, 3 Months</v>
      </c>
      <c r="F12" s="15">
        <v>118635</v>
      </c>
      <c r="G12" s="12">
        <v>49</v>
      </c>
      <c r="H12" s="13" t="s">
        <v>24</v>
      </c>
      <c r="I12" s="13" t="str">
        <f>VLOOKUP(TRIM(C12),'Lookup Department'!$A$1:$B$7,2,FALSE)</f>
        <v>Sales</v>
      </c>
      <c r="J12" s="13" t="str">
        <f t="shared" si="0"/>
        <v>Needs Improvement</v>
      </c>
      <c r="K12" s="17">
        <f t="shared" si="1"/>
        <v>0</v>
      </c>
      <c r="L12" s="13" t="str" cm="1">
        <f t="array" ref="L12">_xlfn.IFS(Table2[[#This Row],[Employment Status]]="Left","Yes",Table2[[#This Row],[Employment Status]]="Resigned","Yes","TRUE","No")</f>
        <v>No</v>
      </c>
    </row>
    <row r="13" spans="1:12" x14ac:dyDescent="0.25">
      <c r="A13" s="16" t="s">
        <v>26</v>
      </c>
      <c r="B13" s="13" t="s">
        <v>201</v>
      </c>
      <c r="C13" s="13" t="s">
        <v>7</v>
      </c>
      <c r="D13" s="14">
        <v>42425</v>
      </c>
      <c r="E13" s="14" t="str">
        <f t="shared" ca="1" si="2"/>
        <v>10 Years, 4 Months</v>
      </c>
      <c r="F13" s="15">
        <v>76918</v>
      </c>
      <c r="G13" s="12">
        <v>62</v>
      </c>
      <c r="H13" s="13" t="s">
        <v>24</v>
      </c>
      <c r="I13" s="13" t="str">
        <f>VLOOKUP(TRIM(C13),'Lookup Department'!$A$1:$B$7,2,FALSE)</f>
        <v>Information Technology</v>
      </c>
      <c r="J13" s="13" t="str">
        <f t="shared" si="0"/>
        <v>Developing</v>
      </c>
      <c r="K13" s="17">
        <f t="shared" si="1"/>
        <v>1538.3600000000001</v>
      </c>
      <c r="L13" s="13" t="str" cm="1">
        <f t="array" ref="L13">_xlfn.IFS(Table2[[#This Row],[Employment Status]]="Left","Yes",Table2[[#This Row],[Employment Status]]="Resigned","Yes","TRUE","No")</f>
        <v>No</v>
      </c>
    </row>
    <row r="14" spans="1:12" x14ac:dyDescent="0.25">
      <c r="A14" s="16" t="s">
        <v>27</v>
      </c>
      <c r="B14" s="13" t="s">
        <v>202</v>
      </c>
      <c r="C14" s="13" t="s">
        <v>9</v>
      </c>
      <c r="D14" s="14">
        <v>44364</v>
      </c>
      <c r="E14" s="14" t="str">
        <f t="shared" ca="1" si="2"/>
        <v>5 Years, 0 Months</v>
      </c>
      <c r="F14" s="15">
        <v>61408</v>
      </c>
      <c r="G14" s="12">
        <v>48</v>
      </c>
      <c r="H14" s="13" t="s">
        <v>24</v>
      </c>
      <c r="I14" s="13" t="str">
        <f>VLOOKUP(TRIM(C14),'Lookup Department'!$A$1:$B$7,2,FALSE)</f>
        <v>Marketing</v>
      </c>
      <c r="J14" s="13" t="str">
        <f t="shared" si="0"/>
        <v>Needs Improvement</v>
      </c>
      <c r="K14" s="17">
        <f t="shared" si="1"/>
        <v>0</v>
      </c>
      <c r="L14" s="13" t="str" cm="1">
        <f t="array" ref="L14">_xlfn.IFS(Table2[[#This Row],[Employment Status]]="Left","Yes",Table2[[#This Row],[Employment Status]]="Resigned","Yes","TRUE","No")</f>
        <v>No</v>
      </c>
    </row>
    <row r="15" spans="1:12" x14ac:dyDescent="0.25">
      <c r="A15" s="16" t="s">
        <v>28</v>
      </c>
      <c r="B15" s="13" t="s">
        <v>203</v>
      </c>
      <c r="C15" s="13" t="s">
        <v>9</v>
      </c>
      <c r="D15" s="14">
        <v>44001</v>
      </c>
      <c r="E15" s="14" t="str">
        <f t="shared" ca="1" si="2"/>
        <v>6 Years, 0 Months</v>
      </c>
      <c r="F15" s="15">
        <v>99990</v>
      </c>
      <c r="G15" s="12">
        <v>54</v>
      </c>
      <c r="H15" s="13" t="s">
        <v>24</v>
      </c>
      <c r="I15" s="13" t="str">
        <f>VLOOKUP(TRIM(C15),'Lookup Department'!$A$1:$B$7,2,FALSE)</f>
        <v>Marketing</v>
      </c>
      <c r="J15" s="13" t="str">
        <f t="shared" si="0"/>
        <v>Developing</v>
      </c>
      <c r="K15" s="17">
        <f t="shared" si="1"/>
        <v>1999.8</v>
      </c>
      <c r="L15" s="13" t="str" cm="1">
        <f t="array" ref="L15">_xlfn.IFS(Table2[[#This Row],[Employment Status]]="Left","Yes",Table2[[#This Row],[Employment Status]]="Resigned","Yes","TRUE","No")</f>
        <v>No</v>
      </c>
    </row>
    <row r="16" spans="1:12" x14ac:dyDescent="0.25">
      <c r="A16" s="16" t="s">
        <v>29</v>
      </c>
      <c r="B16" s="13" t="s">
        <v>204</v>
      </c>
      <c r="C16" s="13" t="s">
        <v>30</v>
      </c>
      <c r="D16" s="14">
        <v>43820</v>
      </c>
      <c r="E16" s="14" t="str">
        <f t="shared" ca="1" si="2"/>
        <v>6 Years, 6 Months</v>
      </c>
      <c r="F16" s="15">
        <v>80385</v>
      </c>
      <c r="G16" s="12">
        <v>68</v>
      </c>
      <c r="H16" s="13" t="s">
        <v>24</v>
      </c>
      <c r="I16" s="13" t="str">
        <f>VLOOKUP(TRIM(C16),'Lookup Department'!$A$1:$B$7,2,FALSE)</f>
        <v>Marketing</v>
      </c>
      <c r="J16" s="13" t="str">
        <f t="shared" si="0"/>
        <v>Developing</v>
      </c>
      <c r="K16" s="17">
        <f t="shared" si="1"/>
        <v>1607.7</v>
      </c>
      <c r="L16" s="13" t="str" cm="1">
        <f t="array" ref="L16">_xlfn.IFS(Table2[[#This Row],[Employment Status]]="Left","Yes",Table2[[#This Row],[Employment Status]]="Resigned","Yes","TRUE","No")</f>
        <v>No</v>
      </c>
    </row>
    <row r="17" spans="1:12" x14ac:dyDescent="0.25">
      <c r="A17" s="16" t="s">
        <v>31</v>
      </c>
      <c r="B17" s="13" t="s">
        <v>205</v>
      </c>
      <c r="C17" s="13" t="s">
        <v>23</v>
      </c>
      <c r="D17" s="14">
        <v>45169</v>
      </c>
      <c r="E17" s="14" t="str">
        <f t="shared" ca="1" si="2"/>
        <v>2 Years, 10 Months</v>
      </c>
      <c r="F17" s="15">
        <v>65290</v>
      </c>
      <c r="G17" s="12">
        <v>77</v>
      </c>
      <c r="H17" s="13" t="s">
        <v>24</v>
      </c>
      <c r="I17" s="13" t="str">
        <f>VLOOKUP(TRIM(C17),'Lookup Department'!$A$1:$B$7,2,FALSE)</f>
        <v>Sales</v>
      </c>
      <c r="J17" s="13" t="str">
        <f t="shared" si="0"/>
        <v>Achieving</v>
      </c>
      <c r="K17" s="17">
        <f t="shared" si="1"/>
        <v>3264.5</v>
      </c>
      <c r="L17" s="13" t="str" cm="1">
        <f t="array" ref="L17">_xlfn.IFS(Table2[[#This Row],[Employment Status]]="Left","Yes",Table2[[#This Row],[Employment Status]]="Resigned","Yes","TRUE","No")</f>
        <v>No</v>
      </c>
    </row>
    <row r="18" spans="1:12" x14ac:dyDescent="0.25">
      <c r="A18" s="16" t="s">
        <v>32</v>
      </c>
      <c r="B18" s="13" t="s">
        <v>206</v>
      </c>
      <c r="C18" s="13" t="s">
        <v>7</v>
      </c>
      <c r="D18" s="14">
        <v>42337</v>
      </c>
      <c r="E18" s="14" t="str">
        <f t="shared" ca="1" si="2"/>
        <v>10 Years, 7 Months</v>
      </c>
      <c r="F18" s="15">
        <v>105765</v>
      </c>
      <c r="G18" s="12">
        <v>42</v>
      </c>
      <c r="H18" s="13" t="s">
        <v>24</v>
      </c>
      <c r="I18" s="13" t="str">
        <f>VLOOKUP(TRIM(C18),'Lookup Department'!$A$1:$B$7,2,FALSE)</f>
        <v>Information Technology</v>
      </c>
      <c r="J18" s="13" t="str">
        <f t="shared" si="0"/>
        <v>Needs Improvement</v>
      </c>
      <c r="K18" s="17">
        <f t="shared" si="1"/>
        <v>0</v>
      </c>
      <c r="L18" s="13" t="str" cm="1">
        <f t="array" ref="L18">_xlfn.IFS(Table2[[#This Row],[Employment Status]]="Left","Yes",Table2[[#This Row],[Employment Status]]="Resigned","Yes","TRUE","No")</f>
        <v>No</v>
      </c>
    </row>
    <row r="19" spans="1:12" x14ac:dyDescent="0.25">
      <c r="A19" s="16" t="s">
        <v>33</v>
      </c>
      <c r="B19" s="13" t="s">
        <v>207</v>
      </c>
      <c r="C19" s="13" t="s">
        <v>23</v>
      </c>
      <c r="D19" s="14">
        <v>42899</v>
      </c>
      <c r="E19" s="14" t="str">
        <f t="shared" ca="1" si="2"/>
        <v>9 Years, 0 Months</v>
      </c>
      <c r="F19" s="15">
        <v>102921</v>
      </c>
      <c r="G19" s="12">
        <v>49</v>
      </c>
      <c r="H19" s="13" t="s">
        <v>24</v>
      </c>
      <c r="I19" s="13" t="str">
        <f>VLOOKUP(TRIM(C19),'Lookup Department'!$A$1:$B$7,2,FALSE)</f>
        <v>Sales</v>
      </c>
      <c r="J19" s="13" t="str">
        <f t="shared" si="0"/>
        <v>Needs Improvement</v>
      </c>
      <c r="K19" s="17">
        <f t="shared" si="1"/>
        <v>0</v>
      </c>
      <c r="L19" s="13" t="str" cm="1">
        <f t="array" ref="L19">_xlfn.IFS(Table2[[#This Row],[Employment Status]]="Left","Yes",Table2[[#This Row],[Employment Status]]="Resigned","Yes","TRUE","No")</f>
        <v>No</v>
      </c>
    </row>
    <row r="20" spans="1:12" x14ac:dyDescent="0.25">
      <c r="A20" s="16" t="s">
        <v>34</v>
      </c>
      <c r="B20" s="13" t="s">
        <v>208</v>
      </c>
      <c r="C20" s="13" t="s">
        <v>9</v>
      </c>
      <c r="D20" s="14">
        <v>43235</v>
      </c>
      <c r="E20" s="14" t="str">
        <f t="shared" ca="1" si="2"/>
        <v>8 Years, 1 Months</v>
      </c>
      <c r="F20" s="15">
        <v>73984</v>
      </c>
      <c r="G20" s="12">
        <v>93</v>
      </c>
      <c r="H20" s="13" t="s">
        <v>24</v>
      </c>
      <c r="I20" s="13" t="str">
        <f>VLOOKUP(TRIM(C20),'Lookup Department'!$A$1:$B$7,2,FALSE)</f>
        <v>Marketing</v>
      </c>
      <c r="J20" s="13" t="str">
        <f t="shared" si="0"/>
        <v>Exceeding</v>
      </c>
      <c r="K20" s="17">
        <f t="shared" si="1"/>
        <v>5918.72</v>
      </c>
      <c r="L20" s="13" t="str" cm="1">
        <f t="array" ref="L20">_xlfn.IFS(Table2[[#This Row],[Employment Status]]="Left","Yes",Table2[[#This Row],[Employment Status]]="Resigned","Yes","TRUE","No")</f>
        <v>No</v>
      </c>
    </row>
    <row r="21" spans="1:12" x14ac:dyDescent="0.25">
      <c r="A21" s="16" t="s">
        <v>35</v>
      </c>
      <c r="B21" s="13" t="s">
        <v>209</v>
      </c>
      <c r="C21" s="13" t="s">
        <v>7</v>
      </c>
      <c r="D21" s="14">
        <v>42575</v>
      </c>
      <c r="E21" s="14" t="str">
        <f t="shared" ca="1" si="2"/>
        <v>9 Years, 11 Months</v>
      </c>
      <c r="F21" s="15">
        <v>82713.429999999993</v>
      </c>
      <c r="G21" s="12">
        <v>75</v>
      </c>
      <c r="H21" s="13" t="s">
        <v>24</v>
      </c>
      <c r="I21" s="13" t="str">
        <f>VLOOKUP(TRIM(C21),'Lookup Department'!$A$1:$B$7,2,FALSE)</f>
        <v>Information Technology</v>
      </c>
      <c r="J21" s="13" t="str">
        <f t="shared" si="0"/>
        <v>Achieving</v>
      </c>
      <c r="K21" s="17">
        <f t="shared" si="1"/>
        <v>4135.6714999999995</v>
      </c>
      <c r="L21" s="13" t="str" cm="1">
        <f t="array" ref="L21">_xlfn.IFS(Table2[[#This Row],[Employment Status]]="Left","Yes",Table2[[#This Row],[Employment Status]]="Resigned","Yes","TRUE","No")</f>
        <v>No</v>
      </c>
    </row>
    <row r="22" spans="1:12" x14ac:dyDescent="0.25">
      <c r="A22" s="16" t="s">
        <v>36</v>
      </c>
      <c r="B22" s="13" t="s">
        <v>210</v>
      </c>
      <c r="C22" s="13" t="s">
        <v>13</v>
      </c>
      <c r="D22" s="14">
        <v>43076</v>
      </c>
      <c r="E22" s="14" t="str">
        <f t="shared" ca="1" si="2"/>
        <v>8 Years, 7 Months</v>
      </c>
      <c r="F22" s="15">
        <v>118527</v>
      </c>
      <c r="G22" s="12">
        <v>50</v>
      </c>
      <c r="H22" s="13" t="s">
        <v>24</v>
      </c>
      <c r="I22" s="13" t="str">
        <f>VLOOKUP(TRIM(C22),'Lookup Department'!$A$1:$B$7,2,FALSE)</f>
        <v>Finance</v>
      </c>
      <c r="J22" s="13" t="str">
        <f t="shared" si="0"/>
        <v>Developing</v>
      </c>
      <c r="K22" s="17">
        <f t="shared" si="1"/>
        <v>2370.54</v>
      </c>
      <c r="L22" s="13" t="str" cm="1">
        <f t="array" ref="L22">_xlfn.IFS(Table2[[#This Row],[Employment Status]]="Left","Yes",Table2[[#This Row],[Employment Status]]="Resigned","Yes","TRUE","No")</f>
        <v>No</v>
      </c>
    </row>
    <row r="23" spans="1:12" x14ac:dyDescent="0.25">
      <c r="A23" s="16" t="s">
        <v>37</v>
      </c>
      <c r="B23" s="13" t="s">
        <v>191</v>
      </c>
      <c r="C23" s="13" t="s">
        <v>9</v>
      </c>
      <c r="D23" s="14">
        <v>44353</v>
      </c>
      <c r="E23" s="14" t="str">
        <f t="shared" ca="1" si="2"/>
        <v>5 Years, 1 Months</v>
      </c>
      <c r="F23" s="15">
        <v>107871</v>
      </c>
      <c r="G23" s="12">
        <v>88</v>
      </c>
      <c r="H23" s="13" t="s">
        <v>24</v>
      </c>
      <c r="I23" s="13" t="str">
        <f>VLOOKUP(TRIM(C23),'Lookup Department'!$A$1:$B$7,2,FALSE)</f>
        <v>Marketing</v>
      </c>
      <c r="J23" s="13" t="str">
        <f t="shared" si="0"/>
        <v>Exceeding</v>
      </c>
      <c r="K23" s="17">
        <f t="shared" si="1"/>
        <v>8629.68</v>
      </c>
      <c r="L23" s="13" t="str" cm="1">
        <f t="array" ref="L23">_xlfn.IFS(Table2[[#This Row],[Employment Status]]="Left","Yes",Table2[[#This Row],[Employment Status]]="Resigned","Yes","TRUE","No")</f>
        <v>No</v>
      </c>
    </row>
    <row r="24" spans="1:12" x14ac:dyDescent="0.25">
      <c r="A24" s="16" t="s">
        <v>38</v>
      </c>
      <c r="B24" s="13" t="s">
        <v>211</v>
      </c>
      <c r="C24" s="13" t="s">
        <v>11</v>
      </c>
      <c r="D24" s="14">
        <v>44815</v>
      </c>
      <c r="E24" s="14" t="str">
        <f t="shared" ca="1" si="2"/>
        <v>3 Years, 9 Months</v>
      </c>
      <c r="F24" s="15">
        <v>93956</v>
      </c>
      <c r="G24" s="12">
        <v>50</v>
      </c>
      <c r="H24" s="13" t="s">
        <v>15</v>
      </c>
      <c r="I24" s="13" t="str">
        <f>VLOOKUP(TRIM(C24),'Lookup Department'!$A$1:$B$7,2,FALSE)</f>
        <v>Information Technology</v>
      </c>
      <c r="J24" s="13" t="str">
        <f t="shared" si="0"/>
        <v>Developing</v>
      </c>
      <c r="K24" s="17">
        <f t="shared" si="1"/>
        <v>1879.1200000000001</v>
      </c>
      <c r="L24" s="13" t="str" cm="1">
        <f t="array" ref="L24">_xlfn.IFS(Table2[[#This Row],[Employment Status]]="Left","Yes",Table2[[#This Row],[Employment Status]]="Resigned","Yes","TRUE","No")</f>
        <v>Yes</v>
      </c>
    </row>
    <row r="25" spans="1:12" x14ac:dyDescent="0.25">
      <c r="A25" s="16" t="s">
        <v>39</v>
      </c>
      <c r="B25" s="13" t="s">
        <v>212</v>
      </c>
      <c r="C25" s="13" t="s">
        <v>40</v>
      </c>
      <c r="D25" s="14">
        <v>42565</v>
      </c>
      <c r="E25" s="14" t="str">
        <f t="shared" ca="1" si="2"/>
        <v>9 Years, 11 Months</v>
      </c>
      <c r="F25" s="15">
        <v>100851</v>
      </c>
      <c r="G25" s="12">
        <v>64</v>
      </c>
      <c r="H25" s="13" t="s">
        <v>24</v>
      </c>
      <c r="I25" s="13" t="str">
        <f>VLOOKUP(TRIM(C25),'Lookup Department'!$A$1:$B$7,2,FALSE)</f>
        <v>Finance</v>
      </c>
      <c r="J25" s="13" t="str">
        <f t="shared" si="0"/>
        <v>Developing</v>
      </c>
      <c r="K25" s="17">
        <f t="shared" si="1"/>
        <v>2017.02</v>
      </c>
      <c r="L25" s="13" t="str" cm="1">
        <f t="array" ref="L25">_xlfn.IFS(Table2[[#This Row],[Employment Status]]="Left","Yes",Table2[[#This Row],[Employment Status]]="Resigned","Yes","TRUE","No")</f>
        <v>No</v>
      </c>
    </row>
    <row r="26" spans="1:12" x14ac:dyDescent="0.25">
      <c r="A26" s="16" t="s">
        <v>41</v>
      </c>
      <c r="B26" s="13" t="s">
        <v>213</v>
      </c>
      <c r="C26" s="13" t="s">
        <v>23</v>
      </c>
      <c r="D26" s="14">
        <v>44728</v>
      </c>
      <c r="E26" s="14" t="str">
        <f t="shared" ca="1" si="2"/>
        <v>4 Years, 0 Months</v>
      </c>
      <c r="F26" s="15">
        <v>68655</v>
      </c>
      <c r="G26" s="12">
        <v>32</v>
      </c>
      <c r="H26" s="13" t="s">
        <v>24</v>
      </c>
      <c r="I26" s="13" t="str">
        <f>VLOOKUP(TRIM(C26),'Lookup Department'!$A$1:$B$7,2,FALSE)</f>
        <v>Sales</v>
      </c>
      <c r="J26" s="13" t="str">
        <f t="shared" si="0"/>
        <v>Needs Improvement</v>
      </c>
      <c r="K26" s="17">
        <f t="shared" si="1"/>
        <v>0</v>
      </c>
      <c r="L26" s="13" t="str" cm="1">
        <f t="array" ref="L26">_xlfn.IFS(Table2[[#This Row],[Employment Status]]="Left","Yes",Table2[[#This Row],[Employment Status]]="Resigned","Yes","TRUE","No")</f>
        <v>No</v>
      </c>
    </row>
    <row r="27" spans="1:12" x14ac:dyDescent="0.25">
      <c r="A27" s="16" t="s">
        <v>42</v>
      </c>
      <c r="B27" s="13" t="s">
        <v>214</v>
      </c>
      <c r="C27" s="13" t="s">
        <v>43</v>
      </c>
      <c r="D27" s="14">
        <v>45134</v>
      </c>
      <c r="E27" s="14" t="str">
        <f t="shared" ca="1" si="2"/>
        <v>2 Years, 11 Months</v>
      </c>
      <c r="F27" s="15">
        <v>81205</v>
      </c>
      <c r="G27" s="12">
        <v>59</v>
      </c>
      <c r="H27" s="13" t="s">
        <v>24</v>
      </c>
      <c r="I27" s="13" t="str">
        <f>VLOOKUP(TRIM(C27),'Lookup Department'!$A$1:$B$7,2,FALSE)</f>
        <v>Sales</v>
      </c>
      <c r="J27" s="13" t="str">
        <f t="shared" si="0"/>
        <v>Developing</v>
      </c>
      <c r="K27" s="17">
        <f t="shared" si="1"/>
        <v>1624.1000000000001</v>
      </c>
      <c r="L27" s="13" t="str" cm="1">
        <f t="array" ref="L27">_xlfn.IFS(Table2[[#This Row],[Employment Status]]="Left","Yes",Table2[[#This Row],[Employment Status]]="Resigned","Yes","TRUE","No")</f>
        <v>No</v>
      </c>
    </row>
    <row r="28" spans="1:12" x14ac:dyDescent="0.25">
      <c r="A28" s="16" t="s">
        <v>44</v>
      </c>
      <c r="B28" s="13" t="s">
        <v>196</v>
      </c>
      <c r="C28" s="13" t="s">
        <v>23</v>
      </c>
      <c r="D28" s="14">
        <v>43732</v>
      </c>
      <c r="E28" s="14" t="str">
        <f t="shared" ca="1" si="2"/>
        <v>6 Years, 9 Months</v>
      </c>
      <c r="F28" s="15">
        <v>77610</v>
      </c>
      <c r="G28" s="12">
        <v>88</v>
      </c>
      <c r="H28" s="13" t="s">
        <v>24</v>
      </c>
      <c r="I28" s="13" t="str">
        <f>VLOOKUP(TRIM(C28),'Lookup Department'!$A$1:$B$7,2,FALSE)</f>
        <v>Sales</v>
      </c>
      <c r="J28" s="13" t="str">
        <f t="shared" si="0"/>
        <v>Exceeding</v>
      </c>
      <c r="K28" s="17">
        <f t="shared" si="1"/>
        <v>6208.8</v>
      </c>
      <c r="L28" s="13" t="str" cm="1">
        <f t="array" ref="L28">_xlfn.IFS(Table2[[#This Row],[Employment Status]]="Left","Yes",Table2[[#This Row],[Employment Status]]="Resigned","Yes","TRUE","No")</f>
        <v>No</v>
      </c>
    </row>
    <row r="29" spans="1:12" x14ac:dyDescent="0.25">
      <c r="A29" s="16" t="s">
        <v>45</v>
      </c>
      <c r="B29" s="13" t="s">
        <v>205</v>
      </c>
      <c r="C29" s="13" t="s">
        <v>7</v>
      </c>
      <c r="D29" s="14">
        <v>44765</v>
      </c>
      <c r="E29" s="14" t="str">
        <f t="shared" ca="1" si="2"/>
        <v>3 Years, 11 Months</v>
      </c>
      <c r="F29" s="15">
        <v>50873</v>
      </c>
      <c r="G29" s="12">
        <v>90</v>
      </c>
      <c r="H29" s="13" t="s">
        <v>24</v>
      </c>
      <c r="I29" s="13" t="str">
        <f>VLOOKUP(TRIM(C29),'Lookup Department'!$A$1:$B$7,2,FALSE)</f>
        <v>Information Technology</v>
      </c>
      <c r="J29" s="13" t="str">
        <f t="shared" si="0"/>
        <v>Exceeding</v>
      </c>
      <c r="K29" s="17">
        <f t="shared" si="1"/>
        <v>4069.84</v>
      </c>
      <c r="L29" s="13" t="str" cm="1">
        <f t="array" ref="L29">_xlfn.IFS(Table2[[#This Row],[Employment Status]]="Left","Yes",Table2[[#This Row],[Employment Status]]="Resigned","Yes","TRUE","No")</f>
        <v>No</v>
      </c>
    </row>
    <row r="30" spans="1:12" x14ac:dyDescent="0.25">
      <c r="A30" s="16" t="s">
        <v>46</v>
      </c>
      <c r="B30" s="13" t="s">
        <v>215</v>
      </c>
      <c r="C30" s="13" t="s">
        <v>13</v>
      </c>
      <c r="D30" s="14">
        <v>43233</v>
      </c>
      <c r="E30" s="14" t="str">
        <f t="shared" ca="1" si="2"/>
        <v>8 Years, 1 Months</v>
      </c>
      <c r="F30" s="15">
        <v>85312</v>
      </c>
      <c r="G30" s="12">
        <v>66</v>
      </c>
      <c r="H30" s="13" t="s">
        <v>24</v>
      </c>
      <c r="I30" s="13" t="str">
        <f>VLOOKUP(TRIM(C30),'Lookup Department'!$A$1:$B$7,2,FALSE)</f>
        <v>Finance</v>
      </c>
      <c r="J30" s="13" t="str">
        <f t="shared" si="0"/>
        <v>Developing</v>
      </c>
      <c r="K30" s="17">
        <f t="shared" si="1"/>
        <v>1706.24</v>
      </c>
      <c r="L30" s="13" t="str" cm="1">
        <f t="array" ref="L30">_xlfn.IFS(Table2[[#This Row],[Employment Status]]="Left","Yes",Table2[[#This Row],[Employment Status]]="Resigned","Yes","TRUE","No")</f>
        <v>No</v>
      </c>
    </row>
    <row r="31" spans="1:12" x14ac:dyDescent="0.25">
      <c r="A31" s="16" t="s">
        <v>47</v>
      </c>
      <c r="B31" s="13" t="s">
        <v>216</v>
      </c>
      <c r="C31" s="13" t="s">
        <v>23</v>
      </c>
      <c r="D31" s="14">
        <v>42202</v>
      </c>
      <c r="E31" s="14" t="str">
        <f t="shared" ca="1" si="2"/>
        <v>10 Years, 11 Months</v>
      </c>
      <c r="F31" s="15">
        <v>82713.429999999993</v>
      </c>
      <c r="G31" s="12">
        <v>68</v>
      </c>
      <c r="H31" s="13" t="s">
        <v>24</v>
      </c>
      <c r="I31" s="13" t="str">
        <f>VLOOKUP(TRIM(C31),'Lookup Department'!$A$1:$B$7,2,FALSE)</f>
        <v>Sales</v>
      </c>
      <c r="J31" s="13" t="str">
        <f t="shared" si="0"/>
        <v>Developing</v>
      </c>
      <c r="K31" s="17">
        <f t="shared" si="1"/>
        <v>1654.2685999999999</v>
      </c>
      <c r="L31" s="13" t="str" cm="1">
        <f t="array" ref="L31">_xlfn.IFS(Table2[[#This Row],[Employment Status]]="Left","Yes",Table2[[#This Row],[Employment Status]]="Resigned","Yes","TRUE","No")</f>
        <v>No</v>
      </c>
    </row>
    <row r="32" spans="1:12" x14ac:dyDescent="0.25">
      <c r="A32" s="16" t="s">
        <v>48</v>
      </c>
      <c r="B32" s="13" t="s">
        <v>217</v>
      </c>
      <c r="C32" s="13" t="s">
        <v>17</v>
      </c>
      <c r="D32" s="14">
        <v>42221</v>
      </c>
      <c r="E32" s="14" t="str">
        <f t="shared" ca="1" si="2"/>
        <v>10 Years, 11 Months</v>
      </c>
      <c r="F32" s="15">
        <v>97055</v>
      </c>
      <c r="G32" s="12">
        <v>80</v>
      </c>
      <c r="H32" s="13" t="s">
        <v>24</v>
      </c>
      <c r="I32" s="13" t="str">
        <f>VLOOKUP(TRIM(C32),'Lookup Department'!$A$1:$B$7,2,FALSE)</f>
        <v>Operations</v>
      </c>
      <c r="J32" s="13" t="str">
        <f t="shared" si="0"/>
        <v>Achieving</v>
      </c>
      <c r="K32" s="17">
        <f t="shared" si="1"/>
        <v>4852.75</v>
      </c>
      <c r="L32" s="13" t="str" cm="1">
        <f t="array" ref="L32">_xlfn.IFS(Table2[[#This Row],[Employment Status]]="Left","Yes",Table2[[#This Row],[Employment Status]]="Resigned","Yes","TRUE","No")</f>
        <v>No</v>
      </c>
    </row>
    <row r="33" spans="1:12" x14ac:dyDescent="0.25">
      <c r="A33" s="16" t="s">
        <v>49</v>
      </c>
      <c r="B33" s="13" t="s">
        <v>218</v>
      </c>
      <c r="C33" s="13" t="s">
        <v>7</v>
      </c>
      <c r="D33" s="14">
        <v>45195</v>
      </c>
      <c r="E33" s="14" t="str">
        <f t="shared" ca="1" si="2"/>
        <v>2 Years, 9 Months</v>
      </c>
      <c r="F33" s="15">
        <v>66069</v>
      </c>
      <c r="G33" s="12">
        <v>72</v>
      </c>
      <c r="H33" s="13" t="s">
        <v>24</v>
      </c>
      <c r="I33" s="13" t="str">
        <f>VLOOKUP(TRIM(C33),'Lookup Department'!$A$1:$B$7,2,FALSE)</f>
        <v>Information Technology</v>
      </c>
      <c r="J33" s="13" t="str">
        <f t="shared" si="0"/>
        <v>Achieving</v>
      </c>
      <c r="K33" s="17">
        <f t="shared" si="1"/>
        <v>3303.4500000000003</v>
      </c>
      <c r="L33" s="13" t="str" cm="1">
        <f t="array" ref="L33">_xlfn.IFS(Table2[[#This Row],[Employment Status]]="Left","Yes",Table2[[#This Row],[Employment Status]]="Resigned","Yes","TRUE","No")</f>
        <v>No</v>
      </c>
    </row>
    <row r="34" spans="1:12" x14ac:dyDescent="0.25">
      <c r="A34" s="16" t="s">
        <v>50</v>
      </c>
      <c r="B34" s="13" t="s">
        <v>219</v>
      </c>
      <c r="C34" s="13" t="s">
        <v>7</v>
      </c>
      <c r="D34" s="14">
        <v>43626</v>
      </c>
      <c r="E34" s="14" t="str">
        <f t="shared" ca="1" si="2"/>
        <v>7 Years, 0 Months</v>
      </c>
      <c r="F34" s="15">
        <v>90157</v>
      </c>
      <c r="G34" s="12">
        <v>58</v>
      </c>
      <c r="H34" s="13" t="s">
        <v>24</v>
      </c>
      <c r="I34" s="13" t="str">
        <f>VLOOKUP(TRIM(C34),'Lookup Department'!$A$1:$B$7,2,FALSE)</f>
        <v>Information Technology</v>
      </c>
      <c r="J34" s="13" t="str">
        <f t="shared" ref="J34:J65" si="3">IF(G34&lt;=49,"Needs Improvement",
IF(G34&lt;=69,"Developing",
IF(G34&lt;=84,"Achieving",
IF(G34&lt;=94,"Exceeding",
"Outstanding"))))</f>
        <v>Developing</v>
      </c>
      <c r="K34" s="17">
        <f t="shared" ref="K34:K65" si="4">IF(J34="Needs Improvement",F34*0,
IF(J34="Developing",F34*0.02,
IF(J34="Achieving",F34*0.05,
IF(J34="Exceeding",F34*0.08,
IF(J34="Outstanding",F34*0.12,0)))))</f>
        <v>1803.14</v>
      </c>
      <c r="L34" s="13" t="str" cm="1">
        <f t="array" ref="L34">_xlfn.IFS(Table2[[#This Row],[Employment Status]]="Left","Yes",Table2[[#This Row],[Employment Status]]="Resigned","Yes","TRUE","No")</f>
        <v>No</v>
      </c>
    </row>
    <row r="35" spans="1:12" x14ac:dyDescent="0.25">
      <c r="A35" s="16" t="s">
        <v>51</v>
      </c>
      <c r="B35" s="13" t="s">
        <v>220</v>
      </c>
      <c r="C35" s="13" t="s">
        <v>52</v>
      </c>
      <c r="D35" s="14">
        <v>44578</v>
      </c>
      <c r="E35" s="14" t="str">
        <f t="shared" ca="1" si="2"/>
        <v>4 Years, 5 Months</v>
      </c>
      <c r="F35" s="15">
        <v>59899</v>
      </c>
      <c r="G35" s="12">
        <v>78</v>
      </c>
      <c r="H35" s="13" t="s">
        <v>24</v>
      </c>
      <c r="I35" s="13" t="str">
        <f>VLOOKUP(TRIM(C35),'Lookup Department'!$A$1:$B$7,2,FALSE)</f>
        <v>Human Resources</v>
      </c>
      <c r="J35" s="13" t="str">
        <f t="shared" si="3"/>
        <v>Achieving</v>
      </c>
      <c r="K35" s="17">
        <f t="shared" si="4"/>
        <v>2994.9500000000003</v>
      </c>
      <c r="L35" s="13" t="str" cm="1">
        <f t="array" ref="L35">_xlfn.IFS(Table2[[#This Row],[Employment Status]]="Left","Yes",Table2[[#This Row],[Employment Status]]="Resigned","Yes","TRUE","No")</f>
        <v>No</v>
      </c>
    </row>
    <row r="36" spans="1:12" x14ac:dyDescent="0.25">
      <c r="A36" s="16" t="s">
        <v>53</v>
      </c>
      <c r="B36" s="13" t="s">
        <v>221</v>
      </c>
      <c r="C36" s="13" t="s">
        <v>40</v>
      </c>
      <c r="D36" s="14">
        <v>42919</v>
      </c>
      <c r="E36" s="14" t="str">
        <f t="shared" ca="1" si="2"/>
        <v>9 Years, 0 Months</v>
      </c>
      <c r="F36" s="15">
        <v>113389</v>
      </c>
      <c r="G36" s="12">
        <v>30</v>
      </c>
      <c r="H36" s="13" t="s">
        <v>24</v>
      </c>
      <c r="I36" s="13" t="str">
        <f>VLOOKUP(TRIM(C36),'Lookup Department'!$A$1:$B$7,2,FALSE)</f>
        <v>Finance</v>
      </c>
      <c r="J36" s="13" t="str">
        <f t="shared" si="3"/>
        <v>Needs Improvement</v>
      </c>
      <c r="K36" s="17">
        <f t="shared" si="4"/>
        <v>0</v>
      </c>
      <c r="L36" s="13" t="str" cm="1">
        <f t="array" ref="L36">_xlfn.IFS(Table2[[#This Row],[Employment Status]]="Left","Yes",Table2[[#This Row],[Employment Status]]="Resigned","Yes","TRUE","No")</f>
        <v>No</v>
      </c>
    </row>
    <row r="37" spans="1:12" x14ac:dyDescent="0.25">
      <c r="A37" s="16" t="s">
        <v>54</v>
      </c>
      <c r="B37" s="13" t="s">
        <v>222</v>
      </c>
      <c r="C37" s="13" t="s">
        <v>11</v>
      </c>
      <c r="D37" s="14">
        <v>42248</v>
      </c>
      <c r="E37" s="14" t="str">
        <f t="shared" ca="1" si="2"/>
        <v>10 Years, 10 Months</v>
      </c>
      <c r="F37" s="15">
        <v>102691</v>
      </c>
      <c r="G37" s="12">
        <v>52</v>
      </c>
      <c r="H37" s="13" t="s">
        <v>24</v>
      </c>
      <c r="I37" s="13" t="str">
        <f>VLOOKUP(TRIM(C37),'Lookup Department'!$A$1:$B$7,2,FALSE)</f>
        <v>Information Technology</v>
      </c>
      <c r="J37" s="13" t="str">
        <f t="shared" si="3"/>
        <v>Developing</v>
      </c>
      <c r="K37" s="17">
        <f t="shared" si="4"/>
        <v>2053.8200000000002</v>
      </c>
      <c r="L37" s="13" t="str" cm="1">
        <f t="array" ref="L37">_xlfn.IFS(Table2[[#This Row],[Employment Status]]="Left","Yes",Table2[[#This Row],[Employment Status]]="Resigned","Yes","TRUE","No")</f>
        <v>No</v>
      </c>
    </row>
    <row r="38" spans="1:12" x14ac:dyDescent="0.25">
      <c r="A38" s="16" t="s">
        <v>55</v>
      </c>
      <c r="B38" s="13" t="s">
        <v>196</v>
      </c>
      <c r="C38" s="13" t="s">
        <v>17</v>
      </c>
      <c r="D38" s="14">
        <v>44776</v>
      </c>
      <c r="E38" s="14" t="str">
        <f t="shared" ca="1" si="2"/>
        <v>3 Years, 11 Months</v>
      </c>
      <c r="F38" s="15">
        <v>111845</v>
      </c>
      <c r="G38" s="12">
        <v>98</v>
      </c>
      <c r="H38" s="13" t="s">
        <v>24</v>
      </c>
      <c r="I38" s="13" t="str">
        <f>VLOOKUP(TRIM(C38),'Lookup Department'!$A$1:$B$7,2,FALSE)</f>
        <v>Operations</v>
      </c>
      <c r="J38" s="13" t="str">
        <f t="shared" si="3"/>
        <v>Outstanding</v>
      </c>
      <c r="K38" s="17">
        <f t="shared" si="4"/>
        <v>13421.4</v>
      </c>
      <c r="L38" s="13" t="str" cm="1">
        <f t="array" ref="L38">_xlfn.IFS(Table2[[#This Row],[Employment Status]]="Left","Yes",Table2[[#This Row],[Employment Status]]="Resigned","Yes","TRUE","No")</f>
        <v>No</v>
      </c>
    </row>
    <row r="39" spans="1:12" x14ac:dyDescent="0.25">
      <c r="A39" s="16" t="s">
        <v>56</v>
      </c>
      <c r="B39" s="13" t="s">
        <v>223</v>
      </c>
      <c r="C39" s="13" t="s">
        <v>43</v>
      </c>
      <c r="D39" s="14">
        <v>44741</v>
      </c>
      <c r="E39" s="14" t="str">
        <f t="shared" ca="1" si="2"/>
        <v>4 Years, 0 Months</v>
      </c>
      <c r="F39" s="15">
        <v>69219</v>
      </c>
      <c r="G39" s="12">
        <v>93</v>
      </c>
      <c r="H39" s="13" t="s">
        <v>24</v>
      </c>
      <c r="I39" s="13" t="str">
        <f>VLOOKUP(TRIM(C39),'Lookup Department'!$A$1:$B$7,2,FALSE)</f>
        <v>Sales</v>
      </c>
      <c r="J39" s="13" t="str">
        <f t="shared" si="3"/>
        <v>Exceeding</v>
      </c>
      <c r="K39" s="17">
        <f t="shared" si="4"/>
        <v>5537.52</v>
      </c>
      <c r="L39" s="13" t="str" cm="1">
        <f t="array" ref="L39">_xlfn.IFS(Table2[[#This Row],[Employment Status]]="Left","Yes",Table2[[#This Row],[Employment Status]]="Resigned","Yes","TRUE","No")</f>
        <v>No</v>
      </c>
    </row>
    <row r="40" spans="1:12" x14ac:dyDescent="0.25">
      <c r="A40" s="16" t="s">
        <v>57</v>
      </c>
      <c r="B40" s="13" t="s">
        <v>224</v>
      </c>
      <c r="C40" s="13" t="s">
        <v>13</v>
      </c>
      <c r="D40" s="14">
        <v>43949</v>
      </c>
      <c r="E40" s="14" t="str">
        <f t="shared" ca="1" si="2"/>
        <v>6 Years, 2 Months</v>
      </c>
      <c r="F40" s="15">
        <v>82713.429999999993</v>
      </c>
      <c r="G40" s="12">
        <v>80</v>
      </c>
      <c r="H40" s="13" t="s">
        <v>15</v>
      </c>
      <c r="I40" s="13" t="str">
        <f>VLOOKUP(TRIM(C40),'Lookup Department'!$A$1:$B$7,2,FALSE)</f>
        <v>Finance</v>
      </c>
      <c r="J40" s="13" t="str">
        <f t="shared" si="3"/>
        <v>Achieving</v>
      </c>
      <c r="K40" s="17">
        <f t="shared" si="4"/>
        <v>4135.6714999999995</v>
      </c>
      <c r="L40" s="13" t="str" cm="1">
        <f t="array" ref="L40">_xlfn.IFS(Table2[[#This Row],[Employment Status]]="Left","Yes",Table2[[#This Row],[Employment Status]]="Resigned","Yes","TRUE","No")</f>
        <v>Yes</v>
      </c>
    </row>
    <row r="41" spans="1:12" x14ac:dyDescent="0.25">
      <c r="A41" s="16" t="s">
        <v>58</v>
      </c>
      <c r="B41" s="13" t="s">
        <v>225</v>
      </c>
      <c r="C41" s="13" t="s">
        <v>17</v>
      </c>
      <c r="D41" s="14">
        <v>42987</v>
      </c>
      <c r="E41" s="14" t="str">
        <f t="shared" ca="1" si="2"/>
        <v>8 Years, 9 Months</v>
      </c>
      <c r="F41" s="15">
        <v>57514</v>
      </c>
      <c r="G41" s="12">
        <v>68</v>
      </c>
      <c r="H41" s="13" t="s">
        <v>24</v>
      </c>
      <c r="I41" s="13" t="str">
        <f>VLOOKUP(TRIM(C41),'Lookup Department'!$A$1:$B$7,2,FALSE)</f>
        <v>Operations</v>
      </c>
      <c r="J41" s="13" t="str">
        <f t="shared" si="3"/>
        <v>Developing</v>
      </c>
      <c r="K41" s="17">
        <f t="shared" si="4"/>
        <v>1150.28</v>
      </c>
      <c r="L41" s="13" t="str" cm="1">
        <f t="array" ref="L41">_xlfn.IFS(Table2[[#This Row],[Employment Status]]="Left","Yes",Table2[[#This Row],[Employment Status]]="Resigned","Yes","TRUE","No")</f>
        <v>No</v>
      </c>
    </row>
    <row r="42" spans="1:12" x14ac:dyDescent="0.25">
      <c r="A42" s="16" t="s">
        <v>59</v>
      </c>
      <c r="B42" s="13" t="s">
        <v>226</v>
      </c>
      <c r="C42" s="13" t="s">
        <v>23</v>
      </c>
      <c r="D42" s="14">
        <v>43181</v>
      </c>
      <c r="E42" s="14" t="str">
        <f t="shared" ca="1" si="2"/>
        <v>8 Years, 3 Months</v>
      </c>
      <c r="F42" s="15">
        <v>86245</v>
      </c>
      <c r="G42" s="12">
        <v>71</v>
      </c>
      <c r="H42" s="13" t="s">
        <v>15</v>
      </c>
      <c r="I42" s="13" t="str">
        <f>VLOOKUP(TRIM(C42),'Lookup Department'!$A$1:$B$7,2,FALSE)</f>
        <v>Sales</v>
      </c>
      <c r="J42" s="13" t="str">
        <f t="shared" si="3"/>
        <v>Achieving</v>
      </c>
      <c r="K42" s="17">
        <f t="shared" si="4"/>
        <v>4312.25</v>
      </c>
      <c r="L42" s="13" t="str" cm="1">
        <f t="array" ref="L42">_xlfn.IFS(Table2[[#This Row],[Employment Status]]="Left","Yes",Table2[[#This Row],[Employment Status]]="Resigned","Yes","TRUE","No")</f>
        <v>Yes</v>
      </c>
    </row>
    <row r="43" spans="1:12" x14ac:dyDescent="0.25">
      <c r="A43" s="16" t="s">
        <v>60</v>
      </c>
      <c r="B43" s="13" t="s">
        <v>227</v>
      </c>
      <c r="C43" s="13" t="s">
        <v>23</v>
      </c>
      <c r="D43" s="14">
        <v>43958</v>
      </c>
      <c r="E43" s="14" t="str">
        <f t="shared" ca="1" si="2"/>
        <v>6 Years, 2 Months</v>
      </c>
      <c r="F43" s="15">
        <v>52407</v>
      </c>
      <c r="G43" s="12">
        <v>55</v>
      </c>
      <c r="H43" s="13" t="s">
        <v>24</v>
      </c>
      <c r="I43" s="13" t="str">
        <f>VLOOKUP(TRIM(C43),'Lookup Department'!$A$1:$B$7,2,FALSE)</f>
        <v>Sales</v>
      </c>
      <c r="J43" s="13" t="str">
        <f t="shared" si="3"/>
        <v>Developing</v>
      </c>
      <c r="K43" s="17">
        <f t="shared" si="4"/>
        <v>1048.1400000000001</v>
      </c>
      <c r="L43" s="13" t="str" cm="1">
        <f t="array" ref="L43">_xlfn.IFS(Table2[[#This Row],[Employment Status]]="Left","Yes",Table2[[#This Row],[Employment Status]]="Resigned","Yes","TRUE","No")</f>
        <v>No</v>
      </c>
    </row>
    <row r="44" spans="1:12" x14ac:dyDescent="0.25">
      <c r="A44" s="16" t="s">
        <v>61</v>
      </c>
      <c r="B44" s="13" t="s">
        <v>228</v>
      </c>
      <c r="C44" s="13" t="s">
        <v>19</v>
      </c>
      <c r="D44" s="14">
        <v>43549</v>
      </c>
      <c r="E44" s="14" t="str">
        <f t="shared" ca="1" si="2"/>
        <v>7 Years, 3 Months</v>
      </c>
      <c r="F44" s="15">
        <v>66606</v>
      </c>
      <c r="G44" s="12">
        <v>93</v>
      </c>
      <c r="H44" s="13" t="s">
        <v>62</v>
      </c>
      <c r="I44" s="13" t="str">
        <f>VLOOKUP(TRIM(C44),'Lookup Department'!$A$1:$B$7,2,FALSE)</f>
        <v>Operations</v>
      </c>
      <c r="J44" s="13" t="str">
        <f t="shared" si="3"/>
        <v>Exceeding</v>
      </c>
      <c r="K44" s="17">
        <f t="shared" si="4"/>
        <v>5328.4800000000005</v>
      </c>
      <c r="L44" s="13" t="str" cm="1">
        <f t="array" ref="L44">_xlfn.IFS(Table2[[#This Row],[Employment Status]]="Left","Yes",Table2[[#This Row],[Employment Status]]="Resigned","Yes","TRUE","No")</f>
        <v>Yes</v>
      </c>
    </row>
    <row r="45" spans="1:12" x14ac:dyDescent="0.25">
      <c r="A45" s="16" t="s">
        <v>63</v>
      </c>
      <c r="B45" s="13" t="s">
        <v>229</v>
      </c>
      <c r="C45" s="13" t="s">
        <v>7</v>
      </c>
      <c r="D45" s="14">
        <v>43686</v>
      </c>
      <c r="E45" s="14" t="str">
        <f t="shared" ca="1" si="2"/>
        <v>6 Years, 10 Months</v>
      </c>
      <c r="F45" s="15">
        <v>81896</v>
      </c>
      <c r="G45" s="12">
        <v>79</v>
      </c>
      <c r="H45" s="13" t="s">
        <v>62</v>
      </c>
      <c r="I45" s="13" t="str">
        <f>VLOOKUP(TRIM(C45),'Lookup Department'!$A$1:$B$7,2,FALSE)</f>
        <v>Information Technology</v>
      </c>
      <c r="J45" s="13" t="str">
        <f t="shared" si="3"/>
        <v>Achieving</v>
      </c>
      <c r="K45" s="17">
        <f t="shared" si="4"/>
        <v>4094.8</v>
      </c>
      <c r="L45" s="13" t="str" cm="1">
        <f t="array" ref="L45">_xlfn.IFS(Table2[[#This Row],[Employment Status]]="Left","Yes",Table2[[#This Row],[Employment Status]]="Resigned","Yes","TRUE","No")</f>
        <v>Yes</v>
      </c>
    </row>
    <row r="46" spans="1:12" x14ac:dyDescent="0.25">
      <c r="A46" s="16" t="s">
        <v>64</v>
      </c>
      <c r="B46" s="13" t="s">
        <v>230</v>
      </c>
      <c r="C46" s="13" t="s">
        <v>23</v>
      </c>
      <c r="D46" s="14">
        <v>42565</v>
      </c>
      <c r="E46" s="14" t="str">
        <f t="shared" ca="1" si="2"/>
        <v>9 Years, 11 Months</v>
      </c>
      <c r="F46" s="15">
        <v>78402</v>
      </c>
      <c r="G46" s="12">
        <v>54</v>
      </c>
      <c r="H46" s="13" t="s">
        <v>24</v>
      </c>
      <c r="I46" s="13" t="str">
        <f>VLOOKUP(TRIM(C46),'Lookup Department'!$A$1:$B$7,2,FALSE)</f>
        <v>Sales</v>
      </c>
      <c r="J46" s="13" t="str">
        <f t="shared" si="3"/>
        <v>Developing</v>
      </c>
      <c r="K46" s="17">
        <f t="shared" si="4"/>
        <v>1568.04</v>
      </c>
      <c r="L46" s="13" t="str" cm="1">
        <f t="array" ref="L46">_xlfn.IFS(Table2[[#This Row],[Employment Status]]="Left","Yes",Table2[[#This Row],[Employment Status]]="Resigned","Yes","TRUE","No")</f>
        <v>No</v>
      </c>
    </row>
    <row r="47" spans="1:12" x14ac:dyDescent="0.25">
      <c r="A47" s="16" t="s">
        <v>65</v>
      </c>
      <c r="B47" s="13" t="s">
        <v>231</v>
      </c>
      <c r="C47" s="13" t="s">
        <v>19</v>
      </c>
      <c r="D47" s="14">
        <v>42647</v>
      </c>
      <c r="E47" s="14" t="str">
        <f t="shared" ca="1" si="2"/>
        <v>9 Years, 9 Months</v>
      </c>
      <c r="F47" s="15">
        <v>105498</v>
      </c>
      <c r="G47" s="12">
        <v>76</v>
      </c>
      <c r="H47" s="13" t="s">
        <v>24</v>
      </c>
      <c r="I47" s="13" t="str">
        <f>VLOOKUP(TRIM(C47),'Lookup Department'!$A$1:$B$7,2,FALSE)</f>
        <v>Operations</v>
      </c>
      <c r="J47" s="13" t="str">
        <f t="shared" si="3"/>
        <v>Achieving</v>
      </c>
      <c r="K47" s="17">
        <f t="shared" si="4"/>
        <v>5274.9000000000005</v>
      </c>
      <c r="L47" s="13" t="str" cm="1">
        <f t="array" ref="L47">_xlfn.IFS(Table2[[#This Row],[Employment Status]]="Left","Yes",Table2[[#This Row],[Employment Status]]="Resigned","Yes","TRUE","No")</f>
        <v>No</v>
      </c>
    </row>
    <row r="48" spans="1:12" x14ac:dyDescent="0.25">
      <c r="A48" s="16" t="s">
        <v>66</v>
      </c>
      <c r="B48" s="13" t="s">
        <v>232</v>
      </c>
      <c r="C48" s="13" t="s">
        <v>9</v>
      </c>
      <c r="D48" s="14">
        <v>43656</v>
      </c>
      <c r="E48" s="14" t="str">
        <f t="shared" ca="1" si="2"/>
        <v>6 Years, 11 Months</v>
      </c>
      <c r="F48" s="15">
        <v>91749</v>
      </c>
      <c r="G48" s="12">
        <v>72</v>
      </c>
      <c r="H48" s="13" t="s">
        <v>15</v>
      </c>
      <c r="I48" s="13" t="str">
        <f>VLOOKUP(TRIM(C48),'Lookup Department'!$A$1:$B$7,2,FALSE)</f>
        <v>Marketing</v>
      </c>
      <c r="J48" s="13" t="str">
        <f t="shared" si="3"/>
        <v>Achieving</v>
      </c>
      <c r="K48" s="17">
        <f t="shared" si="4"/>
        <v>4587.45</v>
      </c>
      <c r="L48" s="13" t="str" cm="1">
        <f t="array" ref="L48">_xlfn.IFS(Table2[[#This Row],[Employment Status]]="Left","Yes",Table2[[#This Row],[Employment Status]]="Resigned","Yes","TRUE","No")</f>
        <v>Yes</v>
      </c>
    </row>
    <row r="49" spans="1:12" x14ac:dyDescent="0.25">
      <c r="A49" s="16" t="s">
        <v>67</v>
      </c>
      <c r="B49" s="13" t="s">
        <v>233</v>
      </c>
      <c r="C49" s="13" t="s">
        <v>19</v>
      </c>
      <c r="D49" s="14">
        <v>44437</v>
      </c>
      <c r="E49" s="14" t="str">
        <f t="shared" ca="1" si="2"/>
        <v>4 Years, 10 Months</v>
      </c>
      <c r="F49" s="15">
        <v>99935</v>
      </c>
      <c r="G49" s="12">
        <v>84</v>
      </c>
      <c r="H49" s="13" t="s">
        <v>62</v>
      </c>
      <c r="I49" s="13" t="str">
        <f>VLOOKUP(TRIM(C49),'Lookup Department'!$A$1:$B$7,2,FALSE)</f>
        <v>Operations</v>
      </c>
      <c r="J49" s="13" t="str">
        <f t="shared" si="3"/>
        <v>Achieving</v>
      </c>
      <c r="K49" s="17">
        <f t="shared" si="4"/>
        <v>4996.75</v>
      </c>
      <c r="L49" s="13" t="str" cm="1">
        <f t="array" ref="L49">_xlfn.IFS(Table2[[#This Row],[Employment Status]]="Left","Yes",Table2[[#This Row],[Employment Status]]="Resigned","Yes","TRUE","No")</f>
        <v>Yes</v>
      </c>
    </row>
    <row r="50" spans="1:12" x14ac:dyDescent="0.25">
      <c r="A50" s="16" t="s">
        <v>68</v>
      </c>
      <c r="B50" s="13" t="s">
        <v>234</v>
      </c>
      <c r="C50" s="13" t="s">
        <v>11</v>
      </c>
      <c r="D50" s="14">
        <v>42761</v>
      </c>
      <c r="E50" s="14" t="str">
        <f t="shared" ca="1" si="2"/>
        <v>9 Years, 5 Months</v>
      </c>
      <c r="F50" s="15">
        <v>83531</v>
      </c>
      <c r="G50" s="12">
        <v>30</v>
      </c>
      <c r="H50" s="13" t="s">
        <v>15</v>
      </c>
      <c r="I50" s="13" t="str">
        <f>VLOOKUP(TRIM(C50),'Lookup Department'!$A$1:$B$7,2,FALSE)</f>
        <v>Information Technology</v>
      </c>
      <c r="J50" s="13" t="str">
        <f t="shared" si="3"/>
        <v>Needs Improvement</v>
      </c>
      <c r="K50" s="17">
        <f t="shared" si="4"/>
        <v>0</v>
      </c>
      <c r="L50" s="13" t="str" cm="1">
        <f t="array" ref="L50">_xlfn.IFS(Table2[[#This Row],[Employment Status]]="Left","Yes",Table2[[#This Row],[Employment Status]]="Resigned","Yes","TRUE","No")</f>
        <v>Yes</v>
      </c>
    </row>
    <row r="51" spans="1:12" x14ac:dyDescent="0.25">
      <c r="A51" s="16" t="s">
        <v>69</v>
      </c>
      <c r="B51" s="13" t="s">
        <v>235</v>
      </c>
      <c r="C51" s="13" t="s">
        <v>9</v>
      </c>
      <c r="D51" s="14">
        <v>43981</v>
      </c>
      <c r="E51" s="14" t="str">
        <f t="shared" ca="1" si="2"/>
        <v>6 Years, 1 Months</v>
      </c>
      <c r="F51" s="15">
        <v>75023</v>
      </c>
      <c r="G51" s="12">
        <v>68</v>
      </c>
      <c r="H51" s="13" t="s">
        <v>24</v>
      </c>
      <c r="I51" s="13" t="str">
        <f>VLOOKUP(TRIM(C51),'Lookup Department'!$A$1:$B$7,2,FALSE)</f>
        <v>Marketing</v>
      </c>
      <c r="J51" s="13" t="str">
        <f t="shared" si="3"/>
        <v>Developing</v>
      </c>
      <c r="K51" s="17">
        <f t="shared" si="4"/>
        <v>1500.46</v>
      </c>
      <c r="L51" s="13" t="str" cm="1">
        <f t="array" ref="L51">_xlfn.IFS(Table2[[#This Row],[Employment Status]]="Left","Yes",Table2[[#This Row],[Employment Status]]="Resigned","Yes","TRUE","No")</f>
        <v>No</v>
      </c>
    </row>
    <row r="52" spans="1:12" x14ac:dyDescent="0.25">
      <c r="A52" s="16" t="s">
        <v>70</v>
      </c>
      <c r="B52" s="13" t="s">
        <v>236</v>
      </c>
      <c r="C52" s="13" t="s">
        <v>52</v>
      </c>
      <c r="D52" s="14">
        <v>44612</v>
      </c>
      <c r="E52" s="14" t="str">
        <f t="shared" ca="1" si="2"/>
        <v>4 Years, 4 Months</v>
      </c>
      <c r="F52" s="15">
        <v>93290</v>
      </c>
      <c r="G52" s="12">
        <v>53</v>
      </c>
      <c r="H52" s="13" t="s">
        <v>24</v>
      </c>
      <c r="I52" s="13" t="str">
        <f>VLOOKUP(TRIM(C52),'Lookup Department'!$A$1:$B$7,2,FALSE)</f>
        <v>Human Resources</v>
      </c>
      <c r="J52" s="13" t="str">
        <f t="shared" si="3"/>
        <v>Developing</v>
      </c>
      <c r="K52" s="17">
        <f t="shared" si="4"/>
        <v>1865.8</v>
      </c>
      <c r="L52" s="13" t="str" cm="1">
        <f t="array" ref="L52">_xlfn.IFS(Table2[[#This Row],[Employment Status]]="Left","Yes",Table2[[#This Row],[Employment Status]]="Resigned","Yes","TRUE","No")</f>
        <v>No</v>
      </c>
    </row>
    <row r="53" spans="1:12" x14ac:dyDescent="0.25">
      <c r="A53" s="16" t="s">
        <v>71</v>
      </c>
      <c r="B53" s="13" t="s">
        <v>237</v>
      </c>
      <c r="C53" s="13" t="s">
        <v>17</v>
      </c>
      <c r="D53" s="14">
        <v>42628</v>
      </c>
      <c r="E53" s="14" t="str">
        <f t="shared" ca="1" si="2"/>
        <v>9 Years, 9 Months</v>
      </c>
      <c r="F53" s="15">
        <v>115527</v>
      </c>
      <c r="G53" s="12">
        <v>63</v>
      </c>
      <c r="H53" s="13" t="s">
        <v>62</v>
      </c>
      <c r="I53" s="13" t="str">
        <f>VLOOKUP(TRIM(C53),'Lookup Department'!$A$1:$B$7,2,FALSE)</f>
        <v>Operations</v>
      </c>
      <c r="J53" s="13" t="str">
        <f t="shared" si="3"/>
        <v>Developing</v>
      </c>
      <c r="K53" s="17">
        <f t="shared" si="4"/>
        <v>2310.54</v>
      </c>
      <c r="L53" s="13" t="str" cm="1">
        <f t="array" ref="L53">_xlfn.IFS(Table2[[#This Row],[Employment Status]]="Left","Yes",Table2[[#This Row],[Employment Status]]="Resigned","Yes","TRUE","No")</f>
        <v>Yes</v>
      </c>
    </row>
    <row r="54" spans="1:12" x14ac:dyDescent="0.25">
      <c r="A54" s="16" t="s">
        <v>72</v>
      </c>
      <c r="B54" s="13" t="s">
        <v>205</v>
      </c>
      <c r="C54" s="13" t="s">
        <v>40</v>
      </c>
      <c r="D54" s="14">
        <v>43745</v>
      </c>
      <c r="E54" s="14" t="str">
        <f t="shared" ca="1" si="2"/>
        <v>6 Years, 9 Months</v>
      </c>
      <c r="F54" s="15">
        <v>55920</v>
      </c>
      <c r="G54" s="12">
        <v>84</v>
      </c>
      <c r="H54" s="13" t="s">
        <v>24</v>
      </c>
      <c r="I54" s="13" t="str">
        <f>VLOOKUP(TRIM(C54),'Lookup Department'!$A$1:$B$7,2,FALSE)</f>
        <v>Finance</v>
      </c>
      <c r="J54" s="13" t="str">
        <f t="shared" si="3"/>
        <v>Achieving</v>
      </c>
      <c r="K54" s="17">
        <f t="shared" si="4"/>
        <v>2796</v>
      </c>
      <c r="L54" s="13" t="str" cm="1">
        <f t="array" ref="L54">_xlfn.IFS(Table2[[#This Row],[Employment Status]]="Left","Yes",Table2[[#This Row],[Employment Status]]="Resigned","Yes","TRUE","No")</f>
        <v>No</v>
      </c>
    </row>
    <row r="55" spans="1:12" x14ac:dyDescent="0.25">
      <c r="A55" s="16" t="s">
        <v>73</v>
      </c>
      <c r="B55" s="13" t="s">
        <v>195</v>
      </c>
      <c r="C55" s="13" t="s">
        <v>23</v>
      </c>
      <c r="D55" s="14">
        <v>43464</v>
      </c>
      <c r="E55" s="14" t="str">
        <f t="shared" ca="1" si="2"/>
        <v>7 Years, 6 Months</v>
      </c>
      <c r="F55" s="15">
        <v>80189</v>
      </c>
      <c r="G55" s="12">
        <v>30</v>
      </c>
      <c r="H55" s="13" t="s">
        <v>24</v>
      </c>
      <c r="I55" s="13" t="str">
        <f>VLOOKUP(TRIM(C55),'Lookup Department'!$A$1:$B$7,2,FALSE)</f>
        <v>Sales</v>
      </c>
      <c r="J55" s="13" t="str">
        <f t="shared" si="3"/>
        <v>Needs Improvement</v>
      </c>
      <c r="K55" s="17">
        <f t="shared" si="4"/>
        <v>0</v>
      </c>
      <c r="L55" s="13" t="str" cm="1">
        <f t="array" ref="L55">_xlfn.IFS(Table2[[#This Row],[Employment Status]]="Left","Yes",Table2[[#This Row],[Employment Status]]="Resigned","Yes","TRUE","No")</f>
        <v>No</v>
      </c>
    </row>
    <row r="56" spans="1:12" x14ac:dyDescent="0.25">
      <c r="A56" s="16" t="s">
        <v>74</v>
      </c>
      <c r="B56" s="13" t="s">
        <v>238</v>
      </c>
      <c r="C56" s="13" t="s">
        <v>52</v>
      </c>
      <c r="D56" s="14">
        <v>44189</v>
      </c>
      <c r="E56" s="14" t="str">
        <f t="shared" ca="1" si="2"/>
        <v>5 Years, 6 Months</v>
      </c>
      <c r="F56" s="15">
        <v>118947</v>
      </c>
      <c r="G56" s="12">
        <v>96</v>
      </c>
      <c r="H56" s="13" t="s">
        <v>24</v>
      </c>
      <c r="I56" s="13" t="str">
        <f>VLOOKUP(TRIM(C56),'Lookup Department'!$A$1:$B$7,2,FALSE)</f>
        <v>Human Resources</v>
      </c>
      <c r="J56" s="13" t="str">
        <f t="shared" si="3"/>
        <v>Outstanding</v>
      </c>
      <c r="K56" s="17">
        <f t="shared" si="4"/>
        <v>14273.64</v>
      </c>
      <c r="L56" s="13" t="str" cm="1">
        <f t="array" ref="L56">_xlfn.IFS(Table2[[#This Row],[Employment Status]]="Left","Yes",Table2[[#This Row],[Employment Status]]="Resigned","Yes","TRUE","No")</f>
        <v>No</v>
      </c>
    </row>
    <row r="57" spans="1:12" x14ac:dyDescent="0.25">
      <c r="A57" s="16" t="s">
        <v>75</v>
      </c>
      <c r="B57" s="13" t="s">
        <v>239</v>
      </c>
      <c r="C57" s="13" t="s">
        <v>7</v>
      </c>
      <c r="D57" s="14">
        <v>45112</v>
      </c>
      <c r="E57" s="14" t="str">
        <f t="shared" ca="1" si="2"/>
        <v>3 Years, 0 Months</v>
      </c>
      <c r="F57" s="15">
        <v>82713.429999999993</v>
      </c>
      <c r="G57" s="12">
        <v>54</v>
      </c>
      <c r="H57" s="13" t="s">
        <v>24</v>
      </c>
      <c r="I57" s="13" t="str">
        <f>VLOOKUP(TRIM(C57),'Lookup Department'!$A$1:$B$7,2,FALSE)</f>
        <v>Information Technology</v>
      </c>
      <c r="J57" s="13" t="str">
        <f t="shared" si="3"/>
        <v>Developing</v>
      </c>
      <c r="K57" s="17">
        <f t="shared" si="4"/>
        <v>1654.2685999999999</v>
      </c>
      <c r="L57" s="13" t="str" cm="1">
        <f t="array" ref="L57">_xlfn.IFS(Table2[[#This Row],[Employment Status]]="Left","Yes",Table2[[#This Row],[Employment Status]]="Resigned","Yes","TRUE","No")</f>
        <v>No</v>
      </c>
    </row>
    <row r="58" spans="1:12" x14ac:dyDescent="0.25">
      <c r="A58" s="16" t="s">
        <v>76</v>
      </c>
      <c r="B58" s="13" t="s">
        <v>240</v>
      </c>
      <c r="C58" s="13" t="s">
        <v>19</v>
      </c>
      <c r="D58" s="14">
        <v>44148</v>
      </c>
      <c r="E58" s="14" t="str">
        <f t="shared" ca="1" si="2"/>
        <v>5 Years, 7 Months</v>
      </c>
      <c r="F58" s="15">
        <v>82713.429999999993</v>
      </c>
      <c r="G58" s="12">
        <v>75</v>
      </c>
      <c r="H58" s="13" t="s">
        <v>24</v>
      </c>
      <c r="I58" s="13" t="str">
        <f>VLOOKUP(TRIM(C58),'Lookup Department'!$A$1:$B$7,2,FALSE)</f>
        <v>Operations</v>
      </c>
      <c r="J58" s="13" t="str">
        <f t="shared" si="3"/>
        <v>Achieving</v>
      </c>
      <c r="K58" s="17">
        <f t="shared" si="4"/>
        <v>4135.6714999999995</v>
      </c>
      <c r="L58" s="13" t="str" cm="1">
        <f t="array" ref="L58">_xlfn.IFS(Table2[[#This Row],[Employment Status]]="Left","Yes",Table2[[#This Row],[Employment Status]]="Resigned","Yes","TRUE","No")</f>
        <v>No</v>
      </c>
    </row>
    <row r="59" spans="1:12" x14ac:dyDescent="0.25">
      <c r="A59" s="16" t="s">
        <v>77</v>
      </c>
      <c r="B59" s="13" t="s">
        <v>241</v>
      </c>
      <c r="C59" s="13" t="s">
        <v>52</v>
      </c>
      <c r="D59" s="14">
        <v>43138</v>
      </c>
      <c r="E59" s="14" t="str">
        <f t="shared" ca="1" si="2"/>
        <v>8 Years, 5 Months</v>
      </c>
      <c r="F59" s="15">
        <v>91655</v>
      </c>
      <c r="G59" s="12">
        <v>95</v>
      </c>
      <c r="H59" s="13" t="s">
        <v>24</v>
      </c>
      <c r="I59" s="13" t="str">
        <f>VLOOKUP(TRIM(C59),'Lookup Department'!$A$1:$B$7,2,FALSE)</f>
        <v>Human Resources</v>
      </c>
      <c r="J59" s="13" t="str">
        <f t="shared" si="3"/>
        <v>Outstanding</v>
      </c>
      <c r="K59" s="17">
        <f t="shared" si="4"/>
        <v>10998.6</v>
      </c>
      <c r="L59" s="13" t="str" cm="1">
        <f t="array" ref="L59">_xlfn.IFS(Table2[[#This Row],[Employment Status]]="Left","Yes",Table2[[#This Row],[Employment Status]]="Resigned","Yes","TRUE","No")</f>
        <v>No</v>
      </c>
    </row>
    <row r="60" spans="1:12" x14ac:dyDescent="0.25">
      <c r="A60" s="16" t="s">
        <v>78</v>
      </c>
      <c r="B60" s="13" t="s">
        <v>190</v>
      </c>
      <c r="C60" s="13" t="s">
        <v>7</v>
      </c>
      <c r="D60" s="14">
        <v>45255</v>
      </c>
      <c r="E60" s="14" t="str">
        <f t="shared" ca="1" si="2"/>
        <v>2 Years, 7 Months</v>
      </c>
      <c r="F60" s="15">
        <v>49435</v>
      </c>
      <c r="G60" s="12">
        <v>68</v>
      </c>
      <c r="H60" s="13" t="s">
        <v>15</v>
      </c>
      <c r="I60" s="13" t="str">
        <f>VLOOKUP(TRIM(C60),'Lookup Department'!$A$1:$B$7,2,FALSE)</f>
        <v>Information Technology</v>
      </c>
      <c r="J60" s="13" t="str">
        <f t="shared" si="3"/>
        <v>Developing</v>
      </c>
      <c r="K60" s="17">
        <f t="shared" si="4"/>
        <v>988.7</v>
      </c>
      <c r="L60" s="13" t="str" cm="1">
        <f t="array" ref="L60">_xlfn.IFS(Table2[[#This Row],[Employment Status]]="Left","Yes",Table2[[#This Row],[Employment Status]]="Resigned","Yes","TRUE","No")</f>
        <v>Yes</v>
      </c>
    </row>
    <row r="61" spans="1:12" x14ac:dyDescent="0.25">
      <c r="A61" s="16" t="s">
        <v>79</v>
      </c>
      <c r="B61" s="13" t="s">
        <v>226</v>
      </c>
      <c r="C61" s="13" t="s">
        <v>23</v>
      </c>
      <c r="D61" s="14">
        <v>45217</v>
      </c>
      <c r="E61" s="14" t="str">
        <f t="shared" ca="1" si="2"/>
        <v>2 Years, 8 Months</v>
      </c>
      <c r="F61" s="15">
        <v>110381</v>
      </c>
      <c r="G61" s="12">
        <v>93</v>
      </c>
      <c r="H61" s="13" t="s">
        <v>24</v>
      </c>
      <c r="I61" s="13" t="str">
        <f>VLOOKUP(TRIM(C61),'Lookup Department'!$A$1:$B$7,2,FALSE)</f>
        <v>Sales</v>
      </c>
      <c r="J61" s="13" t="str">
        <f t="shared" si="3"/>
        <v>Exceeding</v>
      </c>
      <c r="K61" s="17">
        <f t="shared" si="4"/>
        <v>8830.48</v>
      </c>
      <c r="L61" s="13" t="str" cm="1">
        <f t="array" ref="L61">_xlfn.IFS(Table2[[#This Row],[Employment Status]]="Left","Yes",Table2[[#This Row],[Employment Status]]="Resigned","Yes","TRUE","No")</f>
        <v>No</v>
      </c>
    </row>
    <row r="62" spans="1:12" x14ac:dyDescent="0.25">
      <c r="A62" s="16" t="s">
        <v>80</v>
      </c>
      <c r="B62" s="13" t="s">
        <v>242</v>
      </c>
      <c r="C62" s="13" t="s">
        <v>52</v>
      </c>
      <c r="D62" s="14">
        <v>44079</v>
      </c>
      <c r="E62" s="14" t="str">
        <f t="shared" ca="1" si="2"/>
        <v>5 Years, 10 Months</v>
      </c>
      <c r="F62" s="15">
        <v>114748</v>
      </c>
      <c r="G62" s="12">
        <v>33</v>
      </c>
      <c r="H62" s="13" t="s">
        <v>24</v>
      </c>
      <c r="I62" s="13" t="str">
        <f>VLOOKUP(TRIM(C62),'Lookup Department'!$A$1:$B$7,2,FALSE)</f>
        <v>Human Resources</v>
      </c>
      <c r="J62" s="13" t="str">
        <f t="shared" si="3"/>
        <v>Needs Improvement</v>
      </c>
      <c r="K62" s="17">
        <f t="shared" si="4"/>
        <v>0</v>
      </c>
      <c r="L62" s="13" t="str" cm="1">
        <f t="array" ref="L62">_xlfn.IFS(Table2[[#This Row],[Employment Status]]="Left","Yes",Table2[[#This Row],[Employment Status]]="Resigned","Yes","TRUE","No")</f>
        <v>No</v>
      </c>
    </row>
    <row r="63" spans="1:12" x14ac:dyDescent="0.25">
      <c r="A63" s="16" t="s">
        <v>81</v>
      </c>
      <c r="B63" s="13" t="s">
        <v>243</v>
      </c>
      <c r="C63" s="13" t="s">
        <v>17</v>
      </c>
      <c r="D63" s="14">
        <v>42800</v>
      </c>
      <c r="E63" s="14" t="str">
        <f t="shared" ca="1" si="2"/>
        <v>9 Years, 4 Months</v>
      </c>
      <c r="F63" s="15">
        <v>63302</v>
      </c>
      <c r="G63" s="12">
        <v>91</v>
      </c>
      <c r="H63" s="13" t="s">
        <v>24</v>
      </c>
      <c r="I63" s="13" t="str">
        <f>VLOOKUP(TRIM(C63),'Lookup Department'!$A$1:$B$7,2,FALSE)</f>
        <v>Operations</v>
      </c>
      <c r="J63" s="13" t="str">
        <f t="shared" si="3"/>
        <v>Exceeding</v>
      </c>
      <c r="K63" s="17">
        <f t="shared" si="4"/>
        <v>5064.16</v>
      </c>
      <c r="L63" s="13" t="str" cm="1">
        <f t="array" ref="L63">_xlfn.IFS(Table2[[#This Row],[Employment Status]]="Left","Yes",Table2[[#This Row],[Employment Status]]="Resigned","Yes","TRUE","No")</f>
        <v>No</v>
      </c>
    </row>
    <row r="64" spans="1:12" x14ac:dyDescent="0.25">
      <c r="A64" s="16" t="s">
        <v>82</v>
      </c>
      <c r="B64" s="13" t="s">
        <v>244</v>
      </c>
      <c r="C64" s="13" t="s">
        <v>7</v>
      </c>
      <c r="D64" s="14">
        <v>42122</v>
      </c>
      <c r="E64" s="14" t="str">
        <f t="shared" ca="1" si="2"/>
        <v>11 Years, 2 Months</v>
      </c>
      <c r="F64" s="15">
        <v>75519</v>
      </c>
      <c r="G64" s="12">
        <v>64</v>
      </c>
      <c r="H64" s="13" t="s">
        <v>24</v>
      </c>
      <c r="I64" s="13" t="str">
        <f>VLOOKUP(TRIM(C64),'Lookup Department'!$A$1:$B$7,2,FALSE)</f>
        <v>Information Technology</v>
      </c>
      <c r="J64" s="13" t="str">
        <f t="shared" si="3"/>
        <v>Developing</v>
      </c>
      <c r="K64" s="17">
        <f t="shared" si="4"/>
        <v>1510.38</v>
      </c>
      <c r="L64" s="13" t="str" cm="1">
        <f t="array" ref="L64">_xlfn.IFS(Table2[[#This Row],[Employment Status]]="Left","Yes",Table2[[#This Row],[Employment Status]]="Resigned","Yes","TRUE","No")</f>
        <v>No</v>
      </c>
    </row>
    <row r="65" spans="1:12" x14ac:dyDescent="0.25">
      <c r="A65" s="16" t="s">
        <v>83</v>
      </c>
      <c r="B65" s="13" t="s">
        <v>236</v>
      </c>
      <c r="C65" s="13" t="s">
        <v>40</v>
      </c>
      <c r="D65" s="14">
        <v>42838</v>
      </c>
      <c r="E65" s="14" t="str">
        <f t="shared" ca="1" si="2"/>
        <v>9 Years, 2 Months</v>
      </c>
      <c r="F65" s="15">
        <v>103891</v>
      </c>
      <c r="G65" s="12">
        <v>80</v>
      </c>
      <c r="H65" s="13" t="s">
        <v>24</v>
      </c>
      <c r="I65" s="13" t="str">
        <f>VLOOKUP(TRIM(C65),'Lookup Department'!$A$1:$B$7,2,FALSE)</f>
        <v>Finance</v>
      </c>
      <c r="J65" s="13" t="str">
        <f t="shared" si="3"/>
        <v>Achieving</v>
      </c>
      <c r="K65" s="17">
        <f t="shared" si="4"/>
        <v>5194.55</v>
      </c>
      <c r="L65" s="13" t="str" cm="1">
        <f t="array" ref="L65">_xlfn.IFS(Table2[[#This Row],[Employment Status]]="Left","Yes",Table2[[#This Row],[Employment Status]]="Resigned","Yes","TRUE","No")</f>
        <v>No</v>
      </c>
    </row>
    <row r="66" spans="1:12" x14ac:dyDescent="0.25">
      <c r="A66" s="16" t="s">
        <v>84</v>
      </c>
      <c r="B66" s="13" t="s">
        <v>245</v>
      </c>
      <c r="C66" s="13" t="s">
        <v>17</v>
      </c>
      <c r="D66" s="14">
        <v>44827</v>
      </c>
      <c r="E66" s="14" t="str">
        <f t="shared" ca="1" si="2"/>
        <v>3 Years, 9 Months</v>
      </c>
      <c r="F66" s="15">
        <v>82713.429999999993</v>
      </c>
      <c r="G66" s="12">
        <v>46</v>
      </c>
      <c r="H66" s="13" t="s">
        <v>15</v>
      </c>
      <c r="I66" s="13" t="str">
        <f>VLOOKUP(TRIM(C66),'Lookup Department'!$A$1:$B$7,2,FALSE)</f>
        <v>Operations</v>
      </c>
      <c r="J66" s="13" t="str">
        <f t="shared" ref="J66:J97" si="5">IF(G66&lt;=49,"Needs Improvement",
IF(G66&lt;=69,"Developing",
IF(G66&lt;=84,"Achieving",
IF(G66&lt;=94,"Exceeding",
"Outstanding"))))</f>
        <v>Needs Improvement</v>
      </c>
      <c r="K66" s="17">
        <f t="shared" ref="K66:K97" si="6">IF(J66="Needs Improvement",F66*0,
IF(J66="Developing",F66*0.02,
IF(J66="Achieving",F66*0.05,
IF(J66="Exceeding",F66*0.08,
IF(J66="Outstanding",F66*0.12,0)))))</f>
        <v>0</v>
      </c>
      <c r="L66" s="13" t="str" cm="1">
        <f t="array" ref="L66">_xlfn.IFS(Table2[[#This Row],[Employment Status]]="Left","Yes",Table2[[#This Row],[Employment Status]]="Resigned","Yes","TRUE","No")</f>
        <v>Yes</v>
      </c>
    </row>
    <row r="67" spans="1:12" x14ac:dyDescent="0.25">
      <c r="A67" s="16" t="s">
        <v>85</v>
      </c>
      <c r="B67" s="13" t="s">
        <v>246</v>
      </c>
      <c r="C67" s="13" t="s">
        <v>30</v>
      </c>
      <c r="D67" s="14">
        <v>42685</v>
      </c>
      <c r="E67" s="14" t="str">
        <f t="shared" ref="E67:E130" ca="1" si="7">DATEDIF(D67,TODAY(),"Y")&amp;" Years, "&amp;DATEDIF(D67,TODAY(),"YM")&amp;" Months"</f>
        <v>9 Years, 7 Months</v>
      </c>
      <c r="F67" s="15">
        <v>50936</v>
      </c>
      <c r="G67" s="12">
        <v>99</v>
      </c>
      <c r="H67" s="13" t="s">
        <v>24</v>
      </c>
      <c r="I67" s="13" t="str">
        <f>VLOOKUP(TRIM(C67),'Lookup Department'!$A$1:$B$7,2,FALSE)</f>
        <v>Marketing</v>
      </c>
      <c r="J67" s="13" t="str">
        <f t="shared" si="5"/>
        <v>Outstanding</v>
      </c>
      <c r="K67" s="17">
        <f t="shared" si="6"/>
        <v>6112.32</v>
      </c>
      <c r="L67" s="13" t="str" cm="1">
        <f t="array" ref="L67">_xlfn.IFS(Table2[[#This Row],[Employment Status]]="Left","Yes",Table2[[#This Row],[Employment Status]]="Resigned","Yes","TRUE","No")</f>
        <v>No</v>
      </c>
    </row>
    <row r="68" spans="1:12" x14ac:dyDescent="0.25">
      <c r="A68" s="16" t="s">
        <v>86</v>
      </c>
      <c r="B68" s="13" t="s">
        <v>247</v>
      </c>
      <c r="C68" s="13" t="s">
        <v>43</v>
      </c>
      <c r="D68" s="14">
        <v>42818</v>
      </c>
      <c r="E68" s="14" t="str">
        <f t="shared" ca="1" si="7"/>
        <v>9 Years, 3 Months</v>
      </c>
      <c r="F68" s="15">
        <v>111240</v>
      </c>
      <c r="G68" s="12">
        <v>68</v>
      </c>
      <c r="H68" s="13" t="s">
        <v>24</v>
      </c>
      <c r="I68" s="13" t="str">
        <f>VLOOKUP(TRIM(C68),'Lookup Department'!$A$1:$B$7,2,FALSE)</f>
        <v>Sales</v>
      </c>
      <c r="J68" s="13" t="str">
        <f t="shared" si="5"/>
        <v>Developing</v>
      </c>
      <c r="K68" s="17">
        <f t="shared" si="6"/>
        <v>2224.8000000000002</v>
      </c>
      <c r="L68" s="13" t="str" cm="1">
        <f t="array" ref="L68">_xlfn.IFS(Table2[[#This Row],[Employment Status]]="Left","Yes",Table2[[#This Row],[Employment Status]]="Resigned","Yes","TRUE","No")</f>
        <v>No</v>
      </c>
    </row>
    <row r="69" spans="1:12" x14ac:dyDescent="0.25">
      <c r="A69" s="16" t="s">
        <v>87</v>
      </c>
      <c r="B69" s="13" t="s">
        <v>248</v>
      </c>
      <c r="C69" s="13" t="s">
        <v>52</v>
      </c>
      <c r="D69" s="14">
        <v>43590</v>
      </c>
      <c r="E69" s="14" t="str">
        <f t="shared" ca="1" si="7"/>
        <v>7 Years, 2 Months</v>
      </c>
      <c r="F69" s="15">
        <v>51567</v>
      </c>
      <c r="G69" s="12">
        <v>87</v>
      </c>
      <c r="H69" s="13" t="s">
        <v>62</v>
      </c>
      <c r="I69" s="13" t="str">
        <f>VLOOKUP(TRIM(C69),'Lookup Department'!$A$1:$B$7,2,FALSE)</f>
        <v>Human Resources</v>
      </c>
      <c r="J69" s="13" t="str">
        <f t="shared" si="5"/>
        <v>Exceeding</v>
      </c>
      <c r="K69" s="17">
        <f t="shared" si="6"/>
        <v>4125.3599999999997</v>
      </c>
      <c r="L69" s="13" t="str" cm="1">
        <f t="array" ref="L69">_xlfn.IFS(Table2[[#This Row],[Employment Status]]="Left","Yes",Table2[[#This Row],[Employment Status]]="Resigned","Yes","TRUE","No")</f>
        <v>Yes</v>
      </c>
    </row>
    <row r="70" spans="1:12" x14ac:dyDescent="0.25">
      <c r="A70" s="16" t="s">
        <v>88</v>
      </c>
      <c r="B70" s="13" t="s">
        <v>249</v>
      </c>
      <c r="C70" s="13" t="s">
        <v>89</v>
      </c>
      <c r="D70" s="14">
        <v>44402</v>
      </c>
      <c r="E70" s="14" t="str">
        <f t="shared" ca="1" si="7"/>
        <v>4 Years, 11 Months</v>
      </c>
      <c r="F70" s="15">
        <v>82713.429999999993</v>
      </c>
      <c r="G70" s="12">
        <v>36</v>
      </c>
      <c r="H70" s="13" t="s">
        <v>24</v>
      </c>
      <c r="I70" s="13" t="str">
        <f>VLOOKUP(TRIM(C70),'Lookup Department'!$A$1:$B$7,2,FALSE)</f>
        <v>Human Resources</v>
      </c>
      <c r="J70" s="13" t="str">
        <f t="shared" si="5"/>
        <v>Needs Improvement</v>
      </c>
      <c r="K70" s="17">
        <f t="shared" si="6"/>
        <v>0</v>
      </c>
      <c r="L70" s="13" t="str" cm="1">
        <f t="array" ref="L70">_xlfn.IFS(Table2[[#This Row],[Employment Status]]="Left","Yes",Table2[[#This Row],[Employment Status]]="Resigned","Yes","TRUE","No")</f>
        <v>No</v>
      </c>
    </row>
    <row r="71" spans="1:12" x14ac:dyDescent="0.25">
      <c r="A71" s="16" t="s">
        <v>90</v>
      </c>
      <c r="B71" s="13" t="s">
        <v>244</v>
      </c>
      <c r="C71" s="13" t="s">
        <v>52</v>
      </c>
      <c r="D71" s="14">
        <v>43008</v>
      </c>
      <c r="E71" s="14" t="str">
        <f t="shared" ca="1" si="7"/>
        <v>8 Years, 9 Months</v>
      </c>
      <c r="F71" s="15">
        <v>55270</v>
      </c>
      <c r="G71" s="12">
        <v>87</v>
      </c>
      <c r="H71" s="13" t="s">
        <v>24</v>
      </c>
      <c r="I71" s="13" t="str">
        <f>VLOOKUP(TRIM(C71),'Lookup Department'!$A$1:$B$7,2,FALSE)</f>
        <v>Human Resources</v>
      </c>
      <c r="J71" s="13" t="str">
        <f t="shared" si="5"/>
        <v>Exceeding</v>
      </c>
      <c r="K71" s="17">
        <f t="shared" si="6"/>
        <v>4421.6000000000004</v>
      </c>
      <c r="L71" s="13" t="str" cm="1">
        <f t="array" ref="L71">_xlfn.IFS(Table2[[#This Row],[Employment Status]]="Left","Yes",Table2[[#This Row],[Employment Status]]="Resigned","Yes","TRUE","No")</f>
        <v>No</v>
      </c>
    </row>
    <row r="72" spans="1:12" x14ac:dyDescent="0.25">
      <c r="A72" s="16" t="s">
        <v>91</v>
      </c>
      <c r="B72" s="13" t="s">
        <v>250</v>
      </c>
      <c r="C72" s="13" t="s">
        <v>23</v>
      </c>
      <c r="D72" s="14">
        <v>42192</v>
      </c>
      <c r="E72" s="14" t="str">
        <f t="shared" ca="1" si="7"/>
        <v>11 Years, 0 Months</v>
      </c>
      <c r="F72" s="15">
        <v>65235</v>
      </c>
      <c r="G72" s="12">
        <v>97</v>
      </c>
      <c r="H72" s="13" t="s">
        <v>24</v>
      </c>
      <c r="I72" s="13" t="str">
        <f>VLOOKUP(TRIM(C72),'Lookup Department'!$A$1:$B$7,2,FALSE)</f>
        <v>Sales</v>
      </c>
      <c r="J72" s="13" t="str">
        <f t="shared" si="5"/>
        <v>Outstanding</v>
      </c>
      <c r="K72" s="17">
        <f t="shared" si="6"/>
        <v>7828.2</v>
      </c>
      <c r="L72" s="13" t="str" cm="1">
        <f t="array" ref="L72">_xlfn.IFS(Table2[[#This Row],[Employment Status]]="Left","Yes",Table2[[#This Row],[Employment Status]]="Resigned","Yes","TRUE","No")</f>
        <v>No</v>
      </c>
    </row>
    <row r="73" spans="1:12" x14ac:dyDescent="0.25">
      <c r="A73" s="16" t="s">
        <v>92</v>
      </c>
      <c r="B73" s="13" t="s">
        <v>251</v>
      </c>
      <c r="C73" s="13" t="s">
        <v>23</v>
      </c>
      <c r="D73" s="14">
        <v>43283</v>
      </c>
      <c r="E73" s="14" t="str">
        <f t="shared" ca="1" si="7"/>
        <v>8 Years, 0 Months</v>
      </c>
      <c r="F73" s="15">
        <v>82713.429999999993</v>
      </c>
      <c r="G73" s="12">
        <v>72</v>
      </c>
      <c r="H73" s="13" t="s">
        <v>15</v>
      </c>
      <c r="I73" s="13" t="str">
        <f>VLOOKUP(TRIM(C73),'Lookup Department'!$A$1:$B$7,2,FALSE)</f>
        <v>Sales</v>
      </c>
      <c r="J73" s="13" t="str">
        <f t="shared" si="5"/>
        <v>Achieving</v>
      </c>
      <c r="K73" s="17">
        <f t="shared" si="6"/>
        <v>4135.6714999999995</v>
      </c>
      <c r="L73" s="13" t="str" cm="1">
        <f t="array" ref="L73">_xlfn.IFS(Table2[[#This Row],[Employment Status]]="Left","Yes",Table2[[#This Row],[Employment Status]]="Resigned","Yes","TRUE","No")</f>
        <v>Yes</v>
      </c>
    </row>
    <row r="74" spans="1:12" x14ac:dyDescent="0.25">
      <c r="A74" s="16" t="s">
        <v>93</v>
      </c>
      <c r="B74" s="13" t="s">
        <v>252</v>
      </c>
      <c r="C74" s="13" t="s">
        <v>23</v>
      </c>
      <c r="D74" s="14">
        <v>44819</v>
      </c>
      <c r="E74" s="14" t="str">
        <f t="shared" ca="1" si="7"/>
        <v>3 Years, 9 Months</v>
      </c>
      <c r="F74" s="15">
        <v>82713.429999999993</v>
      </c>
      <c r="G74" s="12">
        <v>65</v>
      </c>
      <c r="H74" s="13" t="s">
        <v>15</v>
      </c>
      <c r="I74" s="13" t="str">
        <f>VLOOKUP(TRIM(C74),'Lookup Department'!$A$1:$B$7,2,FALSE)</f>
        <v>Sales</v>
      </c>
      <c r="J74" s="13" t="str">
        <f t="shared" si="5"/>
        <v>Developing</v>
      </c>
      <c r="K74" s="17">
        <f t="shared" si="6"/>
        <v>1654.2685999999999</v>
      </c>
      <c r="L74" s="13" t="str" cm="1">
        <f t="array" ref="L74">_xlfn.IFS(Table2[[#This Row],[Employment Status]]="Left","Yes",Table2[[#This Row],[Employment Status]]="Resigned","Yes","TRUE","No")</f>
        <v>Yes</v>
      </c>
    </row>
    <row r="75" spans="1:12" x14ac:dyDescent="0.25">
      <c r="A75" s="16" t="s">
        <v>94</v>
      </c>
      <c r="B75" s="13" t="s">
        <v>253</v>
      </c>
      <c r="C75" s="13" t="s">
        <v>43</v>
      </c>
      <c r="D75" s="14">
        <v>42249</v>
      </c>
      <c r="E75" s="14" t="str">
        <f t="shared" ca="1" si="7"/>
        <v>10 Years, 10 Months</v>
      </c>
      <c r="F75" s="15">
        <v>82713.429999999993</v>
      </c>
      <c r="G75" s="12">
        <v>67</v>
      </c>
      <c r="H75" s="13" t="s">
        <v>24</v>
      </c>
      <c r="I75" s="13" t="str">
        <f>VLOOKUP(TRIM(C75),'Lookup Department'!$A$1:$B$7,2,FALSE)</f>
        <v>Sales</v>
      </c>
      <c r="J75" s="13" t="str">
        <f t="shared" si="5"/>
        <v>Developing</v>
      </c>
      <c r="K75" s="17">
        <f t="shared" si="6"/>
        <v>1654.2685999999999</v>
      </c>
      <c r="L75" s="13" t="str" cm="1">
        <f t="array" ref="L75">_xlfn.IFS(Table2[[#This Row],[Employment Status]]="Left","Yes",Table2[[#This Row],[Employment Status]]="Resigned","Yes","TRUE","No")</f>
        <v>No</v>
      </c>
    </row>
    <row r="76" spans="1:12" x14ac:dyDescent="0.25">
      <c r="A76" s="16" t="s">
        <v>95</v>
      </c>
      <c r="B76" s="13" t="s">
        <v>254</v>
      </c>
      <c r="C76" s="13" t="s">
        <v>17</v>
      </c>
      <c r="D76" s="14">
        <v>42654</v>
      </c>
      <c r="E76" s="14" t="str">
        <f t="shared" ca="1" si="7"/>
        <v>9 Years, 8 Months</v>
      </c>
      <c r="F76" s="15">
        <v>48823</v>
      </c>
      <c r="G76" s="12">
        <v>34</v>
      </c>
      <c r="H76" s="13" t="s">
        <v>24</v>
      </c>
      <c r="I76" s="13" t="str">
        <f>VLOOKUP(TRIM(C76),'Lookup Department'!$A$1:$B$7,2,FALSE)</f>
        <v>Operations</v>
      </c>
      <c r="J76" s="13" t="str">
        <f t="shared" si="5"/>
        <v>Needs Improvement</v>
      </c>
      <c r="K76" s="17">
        <f t="shared" si="6"/>
        <v>0</v>
      </c>
      <c r="L76" s="13" t="str" cm="1">
        <f t="array" ref="L76">_xlfn.IFS(Table2[[#This Row],[Employment Status]]="Left","Yes",Table2[[#This Row],[Employment Status]]="Resigned","Yes","TRUE","No")</f>
        <v>No</v>
      </c>
    </row>
    <row r="77" spans="1:12" x14ac:dyDescent="0.25">
      <c r="A77" s="16" t="s">
        <v>96</v>
      </c>
      <c r="B77" s="13" t="s">
        <v>253</v>
      </c>
      <c r="C77" s="13" t="s">
        <v>40</v>
      </c>
      <c r="D77" s="14">
        <v>43575</v>
      </c>
      <c r="E77" s="14" t="str">
        <f t="shared" ca="1" si="7"/>
        <v>7 Years, 2 Months</v>
      </c>
      <c r="F77" s="15">
        <v>45196</v>
      </c>
      <c r="G77" s="12">
        <v>78</v>
      </c>
      <c r="H77" s="13" t="s">
        <v>15</v>
      </c>
      <c r="I77" s="13" t="str">
        <f>VLOOKUP(TRIM(C77),'Lookup Department'!$A$1:$B$7,2,FALSE)</f>
        <v>Finance</v>
      </c>
      <c r="J77" s="13" t="str">
        <f t="shared" si="5"/>
        <v>Achieving</v>
      </c>
      <c r="K77" s="17">
        <f t="shared" si="6"/>
        <v>2259.8000000000002</v>
      </c>
      <c r="L77" s="13" t="str" cm="1">
        <f t="array" ref="L77">_xlfn.IFS(Table2[[#This Row],[Employment Status]]="Left","Yes",Table2[[#This Row],[Employment Status]]="Resigned","Yes","TRUE","No")</f>
        <v>Yes</v>
      </c>
    </row>
    <row r="78" spans="1:12" x14ac:dyDescent="0.25">
      <c r="A78" s="16" t="s">
        <v>97</v>
      </c>
      <c r="B78" s="13" t="s">
        <v>255</v>
      </c>
      <c r="C78" s="13" t="s">
        <v>7</v>
      </c>
      <c r="D78" s="14">
        <v>42785</v>
      </c>
      <c r="E78" s="14" t="str">
        <f t="shared" ca="1" si="7"/>
        <v>9 Years, 4 Months</v>
      </c>
      <c r="F78" s="15">
        <v>86246</v>
      </c>
      <c r="G78" s="12">
        <v>61</v>
      </c>
      <c r="H78" s="13" t="s">
        <v>24</v>
      </c>
      <c r="I78" s="13" t="str">
        <f>VLOOKUP(TRIM(C78),'Lookup Department'!$A$1:$B$7,2,FALSE)</f>
        <v>Information Technology</v>
      </c>
      <c r="J78" s="13" t="str">
        <f t="shared" si="5"/>
        <v>Developing</v>
      </c>
      <c r="K78" s="17">
        <f t="shared" si="6"/>
        <v>1724.92</v>
      </c>
      <c r="L78" s="13" t="str" cm="1">
        <f t="array" ref="L78">_xlfn.IFS(Table2[[#This Row],[Employment Status]]="Left","Yes",Table2[[#This Row],[Employment Status]]="Resigned","Yes","TRUE","No")</f>
        <v>No</v>
      </c>
    </row>
    <row r="79" spans="1:12" x14ac:dyDescent="0.25">
      <c r="A79" s="16" t="s">
        <v>98</v>
      </c>
      <c r="B79" s="13" t="s">
        <v>200</v>
      </c>
      <c r="C79" s="13" t="s">
        <v>23</v>
      </c>
      <c r="D79" s="14">
        <v>44446</v>
      </c>
      <c r="E79" s="14" t="str">
        <f t="shared" ca="1" si="7"/>
        <v>4 Years, 10 Months</v>
      </c>
      <c r="F79" s="15">
        <v>70359</v>
      </c>
      <c r="G79" s="12">
        <v>74</v>
      </c>
      <c r="H79" s="13" t="s">
        <v>15</v>
      </c>
      <c r="I79" s="13" t="str">
        <f>VLOOKUP(TRIM(C79),'Lookup Department'!$A$1:$B$7,2,FALSE)</f>
        <v>Sales</v>
      </c>
      <c r="J79" s="13" t="str">
        <f t="shared" si="5"/>
        <v>Achieving</v>
      </c>
      <c r="K79" s="17">
        <f t="shared" si="6"/>
        <v>3517.9500000000003</v>
      </c>
      <c r="L79" s="13" t="str" cm="1">
        <f t="array" ref="L79">_xlfn.IFS(Table2[[#This Row],[Employment Status]]="Left","Yes",Table2[[#This Row],[Employment Status]]="Resigned","Yes","TRUE","No")</f>
        <v>Yes</v>
      </c>
    </row>
    <row r="80" spans="1:12" x14ac:dyDescent="0.25">
      <c r="A80" s="16" t="s">
        <v>99</v>
      </c>
      <c r="B80" s="13" t="s">
        <v>225</v>
      </c>
      <c r="C80" s="13" t="s">
        <v>30</v>
      </c>
      <c r="D80" s="14">
        <v>43599</v>
      </c>
      <c r="E80" s="14" t="str">
        <f t="shared" ca="1" si="7"/>
        <v>7 Years, 1 Months</v>
      </c>
      <c r="F80" s="15">
        <v>82713.429999999993</v>
      </c>
      <c r="G80" s="12">
        <v>94</v>
      </c>
      <c r="H80" s="13" t="s">
        <v>24</v>
      </c>
      <c r="I80" s="13" t="str">
        <f>VLOOKUP(TRIM(C80),'Lookup Department'!$A$1:$B$7,2,FALSE)</f>
        <v>Marketing</v>
      </c>
      <c r="J80" s="13" t="str">
        <f t="shared" si="5"/>
        <v>Exceeding</v>
      </c>
      <c r="K80" s="17">
        <f t="shared" si="6"/>
        <v>6617.0743999999995</v>
      </c>
      <c r="L80" s="13" t="str" cm="1">
        <f t="array" ref="L80">_xlfn.IFS(Table2[[#This Row],[Employment Status]]="Left","Yes",Table2[[#This Row],[Employment Status]]="Resigned","Yes","TRUE","No")</f>
        <v>No</v>
      </c>
    </row>
    <row r="81" spans="1:12" x14ac:dyDescent="0.25">
      <c r="A81" s="16" t="s">
        <v>100</v>
      </c>
      <c r="B81" s="13" t="s">
        <v>256</v>
      </c>
      <c r="C81" s="13" t="s">
        <v>19</v>
      </c>
      <c r="D81" s="14">
        <v>42330</v>
      </c>
      <c r="E81" s="14" t="str">
        <f t="shared" ca="1" si="7"/>
        <v>10 Years, 7 Months</v>
      </c>
      <c r="F81" s="15">
        <v>86480</v>
      </c>
      <c r="G81" s="12">
        <v>68</v>
      </c>
      <c r="H81" s="13" t="s">
        <v>24</v>
      </c>
      <c r="I81" s="13" t="str">
        <f>VLOOKUP(TRIM(C81),'Lookup Department'!$A$1:$B$7,2,FALSE)</f>
        <v>Operations</v>
      </c>
      <c r="J81" s="13" t="str">
        <f t="shared" si="5"/>
        <v>Developing</v>
      </c>
      <c r="K81" s="17">
        <f t="shared" si="6"/>
        <v>1729.6000000000001</v>
      </c>
      <c r="L81" s="13" t="str" cm="1">
        <f t="array" ref="L81">_xlfn.IFS(Table2[[#This Row],[Employment Status]]="Left","Yes",Table2[[#This Row],[Employment Status]]="Resigned","Yes","TRUE","No")</f>
        <v>No</v>
      </c>
    </row>
    <row r="82" spans="1:12" x14ac:dyDescent="0.25">
      <c r="A82" s="16" t="s">
        <v>101</v>
      </c>
      <c r="B82" s="13" t="s">
        <v>257</v>
      </c>
      <c r="C82" s="13" t="s">
        <v>52</v>
      </c>
      <c r="D82" s="14">
        <v>43372</v>
      </c>
      <c r="E82" s="14" t="str">
        <f t="shared" ca="1" si="7"/>
        <v>7 Years, 9 Months</v>
      </c>
      <c r="F82" s="15">
        <v>47694</v>
      </c>
      <c r="G82" s="12">
        <v>75</v>
      </c>
      <c r="H82" s="13" t="s">
        <v>24</v>
      </c>
      <c r="I82" s="13" t="str">
        <f>VLOOKUP(TRIM(C82),'Lookup Department'!$A$1:$B$7,2,FALSE)</f>
        <v>Human Resources</v>
      </c>
      <c r="J82" s="13" t="str">
        <f t="shared" si="5"/>
        <v>Achieving</v>
      </c>
      <c r="K82" s="17">
        <f t="shared" si="6"/>
        <v>2384.7000000000003</v>
      </c>
      <c r="L82" s="13" t="str" cm="1">
        <f t="array" ref="L82">_xlfn.IFS(Table2[[#This Row],[Employment Status]]="Left","Yes",Table2[[#This Row],[Employment Status]]="Resigned","Yes","TRUE","No")</f>
        <v>No</v>
      </c>
    </row>
    <row r="83" spans="1:12" x14ac:dyDescent="0.25">
      <c r="A83" s="16" t="s">
        <v>102</v>
      </c>
      <c r="B83" s="13" t="s">
        <v>258</v>
      </c>
      <c r="C83" s="13" t="s">
        <v>7</v>
      </c>
      <c r="D83" s="14">
        <v>45171</v>
      </c>
      <c r="E83" s="14" t="str">
        <f t="shared" ca="1" si="7"/>
        <v>2 Years, 10 Months</v>
      </c>
      <c r="F83" s="15">
        <v>83724</v>
      </c>
      <c r="G83" s="12">
        <v>81</v>
      </c>
      <c r="H83" s="13" t="s">
        <v>62</v>
      </c>
      <c r="I83" s="13" t="str">
        <f>VLOOKUP(TRIM(C83),'Lookup Department'!$A$1:$B$7,2,FALSE)</f>
        <v>Information Technology</v>
      </c>
      <c r="J83" s="13" t="str">
        <f t="shared" si="5"/>
        <v>Achieving</v>
      </c>
      <c r="K83" s="17">
        <f t="shared" si="6"/>
        <v>4186.2</v>
      </c>
      <c r="L83" s="13" t="str" cm="1">
        <f t="array" ref="L83">_xlfn.IFS(Table2[[#This Row],[Employment Status]]="Left","Yes",Table2[[#This Row],[Employment Status]]="Resigned","Yes","TRUE","No")</f>
        <v>Yes</v>
      </c>
    </row>
    <row r="84" spans="1:12" x14ac:dyDescent="0.25">
      <c r="A84" s="16" t="s">
        <v>103</v>
      </c>
      <c r="B84" s="13" t="s">
        <v>259</v>
      </c>
      <c r="C84" s="13" t="s">
        <v>40</v>
      </c>
      <c r="D84" s="14">
        <v>44759</v>
      </c>
      <c r="E84" s="14" t="str">
        <f t="shared" ca="1" si="7"/>
        <v>3 Years, 11 Months</v>
      </c>
      <c r="F84" s="15">
        <v>98299</v>
      </c>
      <c r="G84" s="12">
        <v>61</v>
      </c>
      <c r="H84" s="13" t="s">
        <v>24</v>
      </c>
      <c r="I84" s="13" t="str">
        <f>VLOOKUP(TRIM(C84),'Lookup Department'!$A$1:$B$7,2,FALSE)</f>
        <v>Finance</v>
      </c>
      <c r="J84" s="13" t="str">
        <f t="shared" si="5"/>
        <v>Developing</v>
      </c>
      <c r="K84" s="17">
        <f t="shared" si="6"/>
        <v>1965.98</v>
      </c>
      <c r="L84" s="13" t="str" cm="1">
        <f t="array" ref="L84">_xlfn.IFS(Table2[[#This Row],[Employment Status]]="Left","Yes",Table2[[#This Row],[Employment Status]]="Resigned","Yes","TRUE","No")</f>
        <v>No</v>
      </c>
    </row>
    <row r="85" spans="1:12" x14ac:dyDescent="0.25">
      <c r="A85" s="16" t="s">
        <v>104</v>
      </c>
      <c r="B85" s="13" t="s">
        <v>260</v>
      </c>
      <c r="C85" s="13" t="s">
        <v>13</v>
      </c>
      <c r="D85" s="14">
        <v>44234</v>
      </c>
      <c r="E85" s="14" t="str">
        <f t="shared" ca="1" si="7"/>
        <v>5 Years, 5 Months</v>
      </c>
      <c r="F85" s="15">
        <v>82713.429999999993</v>
      </c>
      <c r="G85" s="12">
        <v>68</v>
      </c>
      <c r="H85" s="13" t="s">
        <v>24</v>
      </c>
      <c r="I85" s="13" t="str">
        <f>VLOOKUP(TRIM(C85),'Lookup Department'!$A$1:$B$7,2,FALSE)</f>
        <v>Finance</v>
      </c>
      <c r="J85" s="13" t="str">
        <f t="shared" si="5"/>
        <v>Developing</v>
      </c>
      <c r="K85" s="17">
        <f t="shared" si="6"/>
        <v>1654.2685999999999</v>
      </c>
      <c r="L85" s="13" t="str" cm="1">
        <f t="array" ref="L85">_xlfn.IFS(Table2[[#This Row],[Employment Status]]="Left","Yes",Table2[[#This Row],[Employment Status]]="Resigned","Yes","TRUE","No")</f>
        <v>No</v>
      </c>
    </row>
    <row r="86" spans="1:12" x14ac:dyDescent="0.25">
      <c r="A86" s="16" t="s">
        <v>105</v>
      </c>
      <c r="B86" s="13" t="s">
        <v>261</v>
      </c>
      <c r="C86" s="13" t="s">
        <v>7</v>
      </c>
      <c r="D86" s="14">
        <v>45203</v>
      </c>
      <c r="E86" s="14" t="str">
        <f t="shared" ca="1" si="7"/>
        <v>2 Years, 9 Months</v>
      </c>
      <c r="F86" s="15">
        <v>52287</v>
      </c>
      <c r="G86" s="12">
        <v>70</v>
      </c>
      <c r="H86" s="13" t="s">
        <v>24</v>
      </c>
      <c r="I86" s="13" t="str">
        <f>VLOOKUP(TRIM(C86),'Lookup Department'!$A$1:$B$7,2,FALSE)</f>
        <v>Information Technology</v>
      </c>
      <c r="J86" s="13" t="str">
        <f t="shared" si="5"/>
        <v>Achieving</v>
      </c>
      <c r="K86" s="17">
        <f t="shared" si="6"/>
        <v>2614.3500000000004</v>
      </c>
      <c r="L86" s="13" t="str" cm="1">
        <f t="array" ref="L86">_xlfn.IFS(Table2[[#This Row],[Employment Status]]="Left","Yes",Table2[[#This Row],[Employment Status]]="Resigned","Yes","TRUE","No")</f>
        <v>No</v>
      </c>
    </row>
    <row r="87" spans="1:12" x14ac:dyDescent="0.25">
      <c r="A87" s="16" t="s">
        <v>106</v>
      </c>
      <c r="B87" s="13" t="s">
        <v>248</v>
      </c>
      <c r="C87" s="13" t="s">
        <v>7</v>
      </c>
      <c r="D87" s="14">
        <v>44073</v>
      </c>
      <c r="E87" s="14" t="str">
        <f t="shared" ca="1" si="7"/>
        <v>5 Years, 10 Months</v>
      </c>
      <c r="F87" s="15">
        <v>82633</v>
      </c>
      <c r="G87" s="12">
        <v>98</v>
      </c>
      <c r="H87" s="13" t="s">
        <v>24</v>
      </c>
      <c r="I87" s="13" t="str">
        <f>VLOOKUP(TRIM(C87),'Lookup Department'!$A$1:$B$7,2,FALSE)</f>
        <v>Information Technology</v>
      </c>
      <c r="J87" s="13" t="str">
        <f t="shared" si="5"/>
        <v>Outstanding</v>
      </c>
      <c r="K87" s="17">
        <f t="shared" si="6"/>
        <v>9915.9599999999991</v>
      </c>
      <c r="L87" s="13" t="str" cm="1">
        <f t="array" ref="L87">_xlfn.IFS(Table2[[#This Row],[Employment Status]]="Left","Yes",Table2[[#This Row],[Employment Status]]="Resigned","Yes","TRUE","No")</f>
        <v>No</v>
      </c>
    </row>
    <row r="88" spans="1:12" x14ac:dyDescent="0.25">
      <c r="A88" s="16" t="s">
        <v>107</v>
      </c>
      <c r="B88" s="13" t="s">
        <v>262</v>
      </c>
      <c r="C88" s="13" t="s">
        <v>19</v>
      </c>
      <c r="D88" s="14">
        <v>44422</v>
      </c>
      <c r="E88" s="14" t="str">
        <f t="shared" ca="1" si="7"/>
        <v>4 Years, 10 Months</v>
      </c>
      <c r="F88" s="15">
        <v>46508</v>
      </c>
      <c r="G88" s="12">
        <v>34</v>
      </c>
      <c r="H88" s="13" t="s">
        <v>24</v>
      </c>
      <c r="I88" s="13" t="str">
        <f>VLOOKUP(TRIM(C88),'Lookup Department'!$A$1:$B$7,2,FALSE)</f>
        <v>Operations</v>
      </c>
      <c r="J88" s="13" t="str">
        <f t="shared" si="5"/>
        <v>Needs Improvement</v>
      </c>
      <c r="K88" s="17">
        <f t="shared" si="6"/>
        <v>0</v>
      </c>
      <c r="L88" s="13" t="str" cm="1">
        <f t="array" ref="L88">_xlfn.IFS(Table2[[#This Row],[Employment Status]]="Left","Yes",Table2[[#This Row],[Employment Status]]="Resigned","Yes","TRUE","No")</f>
        <v>No</v>
      </c>
    </row>
    <row r="89" spans="1:12" x14ac:dyDescent="0.25">
      <c r="A89" s="16" t="s">
        <v>108</v>
      </c>
      <c r="B89" s="13" t="s">
        <v>192</v>
      </c>
      <c r="C89" s="13" t="s">
        <v>52</v>
      </c>
      <c r="D89" s="14">
        <v>43796</v>
      </c>
      <c r="E89" s="14" t="str">
        <f t="shared" ca="1" si="7"/>
        <v>6 Years, 7 Months</v>
      </c>
      <c r="F89" s="15">
        <v>86232</v>
      </c>
      <c r="G89" s="12">
        <v>93</v>
      </c>
      <c r="H89" s="13" t="s">
        <v>24</v>
      </c>
      <c r="I89" s="13" t="str">
        <f>VLOOKUP(TRIM(C89),'Lookup Department'!$A$1:$B$7,2,FALSE)</f>
        <v>Human Resources</v>
      </c>
      <c r="J89" s="13" t="str">
        <f t="shared" si="5"/>
        <v>Exceeding</v>
      </c>
      <c r="K89" s="17">
        <f t="shared" si="6"/>
        <v>6898.56</v>
      </c>
      <c r="L89" s="13" t="str" cm="1">
        <f t="array" ref="L89">_xlfn.IFS(Table2[[#This Row],[Employment Status]]="Left","Yes",Table2[[#This Row],[Employment Status]]="Resigned","Yes","TRUE","No")</f>
        <v>No</v>
      </c>
    </row>
    <row r="90" spans="1:12" x14ac:dyDescent="0.25">
      <c r="A90" s="16" t="s">
        <v>109</v>
      </c>
      <c r="B90" s="13" t="s">
        <v>236</v>
      </c>
      <c r="C90" s="13" t="s">
        <v>7</v>
      </c>
      <c r="D90" s="14">
        <v>42880</v>
      </c>
      <c r="E90" s="14" t="str">
        <f t="shared" ca="1" si="7"/>
        <v>9 Years, 1 Months</v>
      </c>
      <c r="F90" s="15">
        <v>77545</v>
      </c>
      <c r="G90" s="12">
        <v>48</v>
      </c>
      <c r="H90" s="13" t="s">
        <v>24</v>
      </c>
      <c r="I90" s="13" t="str">
        <f>VLOOKUP(TRIM(C90),'Lookup Department'!$A$1:$B$7,2,FALSE)</f>
        <v>Information Technology</v>
      </c>
      <c r="J90" s="13" t="str">
        <f t="shared" si="5"/>
        <v>Needs Improvement</v>
      </c>
      <c r="K90" s="17">
        <f t="shared" si="6"/>
        <v>0</v>
      </c>
      <c r="L90" s="13" t="str" cm="1">
        <f t="array" ref="L90">_xlfn.IFS(Table2[[#This Row],[Employment Status]]="Left","Yes",Table2[[#This Row],[Employment Status]]="Resigned","Yes","TRUE","No")</f>
        <v>No</v>
      </c>
    </row>
    <row r="91" spans="1:12" x14ac:dyDescent="0.25">
      <c r="A91" s="16" t="s">
        <v>110</v>
      </c>
      <c r="B91" s="13" t="s">
        <v>263</v>
      </c>
      <c r="C91" s="13" t="s">
        <v>19</v>
      </c>
      <c r="D91" s="14">
        <v>43436</v>
      </c>
      <c r="E91" s="14" t="str">
        <f t="shared" ca="1" si="7"/>
        <v>7 Years, 7 Months</v>
      </c>
      <c r="F91" s="15">
        <v>68683</v>
      </c>
      <c r="G91" s="12">
        <v>90</v>
      </c>
      <c r="H91" s="13" t="s">
        <v>24</v>
      </c>
      <c r="I91" s="13" t="str">
        <f>VLOOKUP(TRIM(C91),'Lookup Department'!$A$1:$B$7,2,FALSE)</f>
        <v>Operations</v>
      </c>
      <c r="J91" s="13" t="str">
        <f t="shared" si="5"/>
        <v>Exceeding</v>
      </c>
      <c r="K91" s="17">
        <f t="shared" si="6"/>
        <v>5494.64</v>
      </c>
      <c r="L91" s="13" t="str" cm="1">
        <f t="array" ref="L91">_xlfn.IFS(Table2[[#This Row],[Employment Status]]="Left","Yes",Table2[[#This Row],[Employment Status]]="Resigned","Yes","TRUE","No")</f>
        <v>No</v>
      </c>
    </row>
    <row r="92" spans="1:12" x14ac:dyDescent="0.25">
      <c r="A92" s="16" t="s">
        <v>111</v>
      </c>
      <c r="B92" s="13" t="s">
        <v>246</v>
      </c>
      <c r="C92" s="13" t="s">
        <v>13</v>
      </c>
      <c r="D92" s="14">
        <v>43639</v>
      </c>
      <c r="E92" s="14" t="str">
        <f t="shared" ca="1" si="7"/>
        <v>7 Years, 0 Months</v>
      </c>
      <c r="F92" s="15">
        <v>83932</v>
      </c>
      <c r="G92" s="12">
        <v>57</v>
      </c>
      <c r="H92" s="13" t="s">
        <v>15</v>
      </c>
      <c r="I92" s="13" t="str">
        <f>VLOOKUP(TRIM(C92),'Lookup Department'!$A$1:$B$7,2,FALSE)</f>
        <v>Finance</v>
      </c>
      <c r="J92" s="13" t="str">
        <f t="shared" si="5"/>
        <v>Developing</v>
      </c>
      <c r="K92" s="17">
        <f t="shared" si="6"/>
        <v>1678.64</v>
      </c>
      <c r="L92" s="13" t="str" cm="1">
        <f t="array" ref="L92">_xlfn.IFS(Table2[[#This Row],[Employment Status]]="Left","Yes",Table2[[#This Row],[Employment Status]]="Resigned","Yes","TRUE","No")</f>
        <v>Yes</v>
      </c>
    </row>
    <row r="93" spans="1:12" x14ac:dyDescent="0.25">
      <c r="A93" s="16" t="s">
        <v>112</v>
      </c>
      <c r="B93" s="13" t="s">
        <v>264</v>
      </c>
      <c r="C93" s="13" t="s">
        <v>52</v>
      </c>
      <c r="D93" s="14">
        <v>42304</v>
      </c>
      <c r="E93" s="14" t="str">
        <f t="shared" ca="1" si="7"/>
        <v>10 Years, 8 Months</v>
      </c>
      <c r="F93" s="15">
        <v>56073</v>
      </c>
      <c r="G93" s="12">
        <v>79</v>
      </c>
      <c r="H93" s="13" t="s">
        <v>24</v>
      </c>
      <c r="I93" s="13" t="str">
        <f>VLOOKUP(TRIM(C93),'Lookup Department'!$A$1:$B$7,2,FALSE)</f>
        <v>Human Resources</v>
      </c>
      <c r="J93" s="13" t="str">
        <f t="shared" si="5"/>
        <v>Achieving</v>
      </c>
      <c r="K93" s="17">
        <f t="shared" si="6"/>
        <v>2803.65</v>
      </c>
      <c r="L93" s="13" t="str" cm="1">
        <f t="array" ref="L93">_xlfn.IFS(Table2[[#This Row],[Employment Status]]="Left","Yes",Table2[[#This Row],[Employment Status]]="Resigned","Yes","TRUE","No")</f>
        <v>No</v>
      </c>
    </row>
    <row r="94" spans="1:12" x14ac:dyDescent="0.25">
      <c r="A94" s="16" t="s">
        <v>113</v>
      </c>
      <c r="B94" s="13" t="s">
        <v>232</v>
      </c>
      <c r="C94" s="13" t="s">
        <v>11</v>
      </c>
      <c r="D94" s="14">
        <v>43270</v>
      </c>
      <c r="E94" s="14" t="str">
        <f t="shared" ca="1" si="7"/>
        <v>8 Years, 0 Months</v>
      </c>
      <c r="F94" s="15">
        <v>88056</v>
      </c>
      <c r="G94" s="12">
        <v>66</v>
      </c>
      <c r="H94" s="13" t="s">
        <v>24</v>
      </c>
      <c r="I94" s="13" t="str">
        <f>VLOOKUP(TRIM(C94),'Lookup Department'!$A$1:$B$7,2,FALSE)</f>
        <v>Information Technology</v>
      </c>
      <c r="J94" s="13" t="str">
        <f t="shared" si="5"/>
        <v>Developing</v>
      </c>
      <c r="K94" s="17">
        <f t="shared" si="6"/>
        <v>1761.1200000000001</v>
      </c>
      <c r="L94" s="13" t="str" cm="1">
        <f t="array" ref="L94">_xlfn.IFS(Table2[[#This Row],[Employment Status]]="Left","Yes",Table2[[#This Row],[Employment Status]]="Resigned","Yes","TRUE","No")</f>
        <v>No</v>
      </c>
    </row>
    <row r="95" spans="1:12" x14ac:dyDescent="0.25">
      <c r="A95" s="16" t="s">
        <v>114</v>
      </c>
      <c r="B95" s="13" t="s">
        <v>265</v>
      </c>
      <c r="C95" s="13" t="s">
        <v>17</v>
      </c>
      <c r="D95" s="14">
        <v>43112</v>
      </c>
      <c r="E95" s="14" t="str">
        <f t="shared" ca="1" si="7"/>
        <v>8 Years, 5 Months</v>
      </c>
      <c r="F95" s="15">
        <v>67414</v>
      </c>
      <c r="G95" s="12">
        <v>84</v>
      </c>
      <c r="H95" s="13" t="s">
        <v>15</v>
      </c>
      <c r="I95" s="13" t="str">
        <f>VLOOKUP(TRIM(C95),'Lookup Department'!$A$1:$B$7,2,FALSE)</f>
        <v>Operations</v>
      </c>
      <c r="J95" s="13" t="str">
        <f t="shared" si="5"/>
        <v>Achieving</v>
      </c>
      <c r="K95" s="17">
        <f t="shared" si="6"/>
        <v>3370.7000000000003</v>
      </c>
      <c r="L95" s="13" t="str" cm="1">
        <f t="array" ref="L95">_xlfn.IFS(Table2[[#This Row],[Employment Status]]="Left","Yes",Table2[[#This Row],[Employment Status]]="Resigned","Yes","TRUE","No")</f>
        <v>Yes</v>
      </c>
    </row>
    <row r="96" spans="1:12" x14ac:dyDescent="0.25">
      <c r="A96" s="16" t="s">
        <v>115</v>
      </c>
      <c r="B96" s="13" t="s">
        <v>263</v>
      </c>
      <c r="C96" s="13" t="s">
        <v>23</v>
      </c>
      <c r="D96" s="14">
        <v>42008</v>
      </c>
      <c r="E96" s="14" t="str">
        <f t="shared" ca="1" si="7"/>
        <v>11 Years, 6 Months</v>
      </c>
      <c r="F96" s="15" t="s">
        <v>116</v>
      </c>
      <c r="G96" s="12">
        <v>61</v>
      </c>
      <c r="H96" s="13" t="s">
        <v>24</v>
      </c>
      <c r="I96" s="13" t="str">
        <f>VLOOKUP(TRIM(C96),'Lookup Department'!$A$1:$B$7,2,FALSE)</f>
        <v>Sales</v>
      </c>
      <c r="J96" s="13" t="str">
        <f t="shared" si="5"/>
        <v>Developing</v>
      </c>
      <c r="K96" s="17">
        <f t="shared" si="6"/>
        <v>2305.7600000000002</v>
      </c>
      <c r="L96" s="13" t="str" cm="1">
        <f t="array" ref="L96">_xlfn.IFS(Table2[[#This Row],[Employment Status]]="Left","Yes",Table2[[#This Row],[Employment Status]]="Resigned","Yes","TRUE","No")</f>
        <v>No</v>
      </c>
    </row>
    <row r="97" spans="1:12" x14ac:dyDescent="0.25">
      <c r="A97" s="16" t="s">
        <v>117</v>
      </c>
      <c r="B97" s="13" t="s">
        <v>266</v>
      </c>
      <c r="C97" s="13" t="s">
        <v>23</v>
      </c>
      <c r="D97" s="14">
        <v>43439</v>
      </c>
      <c r="E97" s="14" t="str">
        <f t="shared" ca="1" si="7"/>
        <v>7 Years, 7 Months</v>
      </c>
      <c r="F97" s="15">
        <v>80140</v>
      </c>
      <c r="G97" s="12">
        <v>58</v>
      </c>
      <c r="H97" s="13" t="s">
        <v>24</v>
      </c>
      <c r="I97" s="13" t="str">
        <f>VLOOKUP(TRIM(C97),'Lookup Department'!$A$1:$B$7,2,FALSE)</f>
        <v>Sales</v>
      </c>
      <c r="J97" s="13" t="str">
        <f t="shared" si="5"/>
        <v>Developing</v>
      </c>
      <c r="K97" s="17">
        <f t="shared" si="6"/>
        <v>1602.8</v>
      </c>
      <c r="L97" s="13" t="str" cm="1">
        <f t="array" ref="L97">_xlfn.IFS(Table2[[#This Row],[Employment Status]]="Left","Yes",Table2[[#This Row],[Employment Status]]="Resigned","Yes","TRUE","No")</f>
        <v>No</v>
      </c>
    </row>
    <row r="98" spans="1:12" x14ac:dyDescent="0.25">
      <c r="A98" s="16" t="s">
        <v>118</v>
      </c>
      <c r="B98" s="13" t="s">
        <v>261</v>
      </c>
      <c r="C98" s="13" t="s">
        <v>7</v>
      </c>
      <c r="D98" s="14">
        <v>44482</v>
      </c>
      <c r="E98" s="14" t="str">
        <f t="shared" ca="1" si="7"/>
        <v>4 Years, 8 Months</v>
      </c>
      <c r="F98" s="15">
        <v>73087</v>
      </c>
      <c r="G98" s="12">
        <v>69</v>
      </c>
      <c r="H98" s="13" t="s">
        <v>24</v>
      </c>
      <c r="I98" s="13" t="str">
        <f>VLOOKUP(TRIM(C98),'Lookup Department'!$A$1:$B$7,2,FALSE)</f>
        <v>Information Technology</v>
      </c>
      <c r="J98" s="13" t="str">
        <f t="shared" ref="J98:J129" si="8">IF(G98&lt;=49,"Needs Improvement",
IF(G98&lt;=69,"Developing",
IF(G98&lt;=84,"Achieving",
IF(G98&lt;=94,"Exceeding",
"Outstanding"))))</f>
        <v>Developing</v>
      </c>
      <c r="K98" s="17">
        <f t="shared" ref="K98:K129" si="9">IF(J98="Needs Improvement",F98*0,
IF(J98="Developing",F98*0.02,
IF(J98="Achieving",F98*0.05,
IF(J98="Exceeding",F98*0.08,
IF(J98="Outstanding",F98*0.12,0)))))</f>
        <v>1461.74</v>
      </c>
      <c r="L98" s="13" t="str" cm="1">
        <f t="array" ref="L98">_xlfn.IFS(Table2[[#This Row],[Employment Status]]="Left","Yes",Table2[[#This Row],[Employment Status]]="Resigned","Yes","TRUE","No")</f>
        <v>No</v>
      </c>
    </row>
    <row r="99" spans="1:12" x14ac:dyDescent="0.25">
      <c r="A99" s="16" t="s">
        <v>119</v>
      </c>
      <c r="B99" s="13" t="s">
        <v>267</v>
      </c>
      <c r="C99" s="13" t="s">
        <v>43</v>
      </c>
      <c r="D99" s="14">
        <v>44081</v>
      </c>
      <c r="E99" s="14" t="str">
        <f t="shared" ca="1" si="7"/>
        <v>5 Years, 10 Months</v>
      </c>
      <c r="F99" s="15">
        <v>95292</v>
      </c>
      <c r="G99" s="12">
        <v>34</v>
      </c>
      <c r="H99" s="13" t="s">
        <v>24</v>
      </c>
      <c r="I99" s="13" t="str">
        <f>VLOOKUP(TRIM(C99),'Lookup Department'!$A$1:$B$7,2,FALSE)</f>
        <v>Sales</v>
      </c>
      <c r="J99" s="13" t="str">
        <f t="shared" si="8"/>
        <v>Needs Improvement</v>
      </c>
      <c r="K99" s="17">
        <f t="shared" si="9"/>
        <v>0</v>
      </c>
      <c r="L99" s="13" t="str" cm="1">
        <f t="array" ref="L99">_xlfn.IFS(Table2[[#This Row],[Employment Status]]="Left","Yes",Table2[[#This Row],[Employment Status]]="Resigned","Yes","TRUE","No")</f>
        <v>No</v>
      </c>
    </row>
    <row r="100" spans="1:12" x14ac:dyDescent="0.25">
      <c r="A100" s="16" t="s">
        <v>120</v>
      </c>
      <c r="B100" s="13" t="s">
        <v>268</v>
      </c>
      <c r="C100" s="13" t="s">
        <v>11</v>
      </c>
      <c r="D100" s="14">
        <v>43532</v>
      </c>
      <c r="E100" s="14" t="str">
        <f t="shared" ca="1" si="7"/>
        <v>7 Years, 4 Months</v>
      </c>
      <c r="F100" s="15">
        <v>82713.429999999993</v>
      </c>
      <c r="G100" s="12">
        <v>33</v>
      </c>
      <c r="H100" s="13" t="s">
        <v>24</v>
      </c>
      <c r="I100" s="13" t="str">
        <f>VLOOKUP(TRIM(C100),'Lookup Department'!$A$1:$B$7,2,FALSE)</f>
        <v>Information Technology</v>
      </c>
      <c r="J100" s="13" t="str">
        <f t="shared" si="8"/>
        <v>Needs Improvement</v>
      </c>
      <c r="K100" s="17">
        <f t="shared" si="9"/>
        <v>0</v>
      </c>
      <c r="L100" s="13" t="str" cm="1">
        <f t="array" ref="L100">_xlfn.IFS(Table2[[#This Row],[Employment Status]]="Left","Yes",Table2[[#This Row],[Employment Status]]="Resigned","Yes","TRUE","No")</f>
        <v>No</v>
      </c>
    </row>
    <row r="101" spans="1:12" x14ac:dyDescent="0.25">
      <c r="A101" s="16" t="s">
        <v>121</v>
      </c>
      <c r="B101" s="13" t="s">
        <v>269</v>
      </c>
      <c r="C101" s="13" t="s">
        <v>9</v>
      </c>
      <c r="D101" s="14">
        <v>42074</v>
      </c>
      <c r="E101" s="14" t="str">
        <f t="shared" ca="1" si="7"/>
        <v>11 Years, 3 Months</v>
      </c>
      <c r="F101" s="15">
        <v>101750</v>
      </c>
      <c r="G101" s="12">
        <v>84</v>
      </c>
      <c r="H101" s="13" t="s">
        <v>15</v>
      </c>
      <c r="I101" s="13" t="str">
        <f>VLOOKUP(TRIM(C101),'Lookup Department'!$A$1:$B$7,2,FALSE)</f>
        <v>Marketing</v>
      </c>
      <c r="J101" s="13" t="str">
        <f t="shared" si="8"/>
        <v>Achieving</v>
      </c>
      <c r="K101" s="17">
        <f t="shared" si="9"/>
        <v>5087.5</v>
      </c>
      <c r="L101" s="13" t="str" cm="1">
        <f t="array" ref="L101">_xlfn.IFS(Table2[[#This Row],[Employment Status]]="Left","Yes",Table2[[#This Row],[Employment Status]]="Resigned","Yes","TRUE","No")</f>
        <v>Yes</v>
      </c>
    </row>
    <row r="102" spans="1:12" x14ac:dyDescent="0.25">
      <c r="A102" s="16" t="s">
        <v>122</v>
      </c>
      <c r="B102" s="13" t="s">
        <v>270</v>
      </c>
      <c r="C102" s="13" t="s">
        <v>9</v>
      </c>
      <c r="D102" s="14">
        <v>42785</v>
      </c>
      <c r="E102" s="14" t="str">
        <f t="shared" ca="1" si="7"/>
        <v>9 Years, 4 Months</v>
      </c>
      <c r="F102" s="15">
        <v>82992</v>
      </c>
      <c r="G102" s="12">
        <v>79</v>
      </c>
      <c r="H102" s="13" t="s">
        <v>24</v>
      </c>
      <c r="I102" s="13" t="str">
        <f>VLOOKUP(TRIM(C102),'Lookup Department'!$A$1:$B$7,2,FALSE)</f>
        <v>Marketing</v>
      </c>
      <c r="J102" s="13" t="str">
        <f t="shared" si="8"/>
        <v>Achieving</v>
      </c>
      <c r="K102" s="17">
        <f t="shared" si="9"/>
        <v>4149.6000000000004</v>
      </c>
      <c r="L102" s="13" t="str" cm="1">
        <f t="array" ref="L102">_xlfn.IFS(Table2[[#This Row],[Employment Status]]="Left","Yes",Table2[[#This Row],[Employment Status]]="Resigned","Yes","TRUE","No")</f>
        <v>No</v>
      </c>
    </row>
    <row r="103" spans="1:12" x14ac:dyDescent="0.25">
      <c r="A103" s="16" t="s">
        <v>123</v>
      </c>
      <c r="B103" s="13" t="s">
        <v>271</v>
      </c>
      <c r="C103" s="13" t="s">
        <v>7</v>
      </c>
      <c r="D103" s="14">
        <v>45055</v>
      </c>
      <c r="E103" s="14" t="str">
        <f t="shared" ca="1" si="7"/>
        <v>3 Years, 1 Months</v>
      </c>
      <c r="F103" s="15">
        <v>49942</v>
      </c>
      <c r="G103" s="12">
        <v>51</v>
      </c>
      <c r="H103" s="13" t="s">
        <v>24</v>
      </c>
      <c r="I103" s="13" t="str">
        <f>VLOOKUP(TRIM(C103),'Lookup Department'!$A$1:$B$7,2,FALSE)</f>
        <v>Information Technology</v>
      </c>
      <c r="J103" s="13" t="str">
        <f t="shared" si="8"/>
        <v>Developing</v>
      </c>
      <c r="K103" s="17">
        <f t="shared" si="9"/>
        <v>998.84</v>
      </c>
      <c r="L103" s="13" t="str" cm="1">
        <f t="array" ref="L103">_xlfn.IFS(Table2[[#This Row],[Employment Status]]="Left","Yes",Table2[[#This Row],[Employment Status]]="Resigned","Yes","TRUE","No")</f>
        <v>No</v>
      </c>
    </row>
    <row r="104" spans="1:12" x14ac:dyDescent="0.25">
      <c r="A104" s="16" t="s">
        <v>124</v>
      </c>
      <c r="B104" s="13" t="s">
        <v>272</v>
      </c>
      <c r="C104" s="13" t="s">
        <v>19</v>
      </c>
      <c r="D104" s="14">
        <v>43122</v>
      </c>
      <c r="E104" s="14" t="str">
        <f t="shared" ca="1" si="7"/>
        <v>8 Years, 5 Months</v>
      </c>
      <c r="F104" s="15">
        <v>89060</v>
      </c>
      <c r="G104" s="12">
        <v>58</v>
      </c>
      <c r="H104" s="13" t="s">
        <v>24</v>
      </c>
      <c r="I104" s="13" t="str">
        <f>VLOOKUP(TRIM(C104),'Lookup Department'!$A$1:$B$7,2,FALSE)</f>
        <v>Operations</v>
      </c>
      <c r="J104" s="13" t="str">
        <f t="shared" si="8"/>
        <v>Developing</v>
      </c>
      <c r="K104" s="17">
        <f t="shared" si="9"/>
        <v>1781.2</v>
      </c>
      <c r="L104" s="13" t="str" cm="1">
        <f t="array" ref="L104">_xlfn.IFS(Table2[[#This Row],[Employment Status]]="Left","Yes",Table2[[#This Row],[Employment Status]]="Resigned","Yes","TRUE","No")</f>
        <v>No</v>
      </c>
    </row>
    <row r="105" spans="1:12" x14ac:dyDescent="0.25">
      <c r="A105" s="16" t="s">
        <v>125</v>
      </c>
      <c r="B105" s="13" t="s">
        <v>252</v>
      </c>
      <c r="C105" s="13" t="s">
        <v>7</v>
      </c>
      <c r="D105" s="14">
        <v>43879</v>
      </c>
      <c r="E105" s="14" t="str">
        <f t="shared" ca="1" si="7"/>
        <v>6 Years, 4 Months</v>
      </c>
      <c r="F105" s="15">
        <v>53786</v>
      </c>
      <c r="G105" s="12">
        <v>98</v>
      </c>
      <c r="H105" s="13" t="s">
        <v>24</v>
      </c>
      <c r="I105" s="13" t="str">
        <f>VLOOKUP(TRIM(C105),'Lookup Department'!$A$1:$B$7,2,FALSE)</f>
        <v>Information Technology</v>
      </c>
      <c r="J105" s="13" t="str">
        <f t="shared" si="8"/>
        <v>Outstanding</v>
      </c>
      <c r="K105" s="17">
        <f t="shared" si="9"/>
        <v>6454.32</v>
      </c>
      <c r="L105" s="13" t="str" cm="1">
        <f t="array" ref="L105">_xlfn.IFS(Table2[[#This Row],[Employment Status]]="Left","Yes",Table2[[#This Row],[Employment Status]]="Resigned","Yes","TRUE","No")</f>
        <v>No</v>
      </c>
    </row>
    <row r="106" spans="1:12" x14ac:dyDescent="0.25">
      <c r="A106" s="16" t="s">
        <v>126</v>
      </c>
      <c r="B106" s="13" t="s">
        <v>195</v>
      </c>
      <c r="C106" s="13" t="s">
        <v>17</v>
      </c>
      <c r="D106" s="14">
        <v>42512</v>
      </c>
      <c r="E106" s="14" t="str">
        <f t="shared" ca="1" si="7"/>
        <v>10 Years, 1 Months</v>
      </c>
      <c r="F106" s="15">
        <v>81167</v>
      </c>
      <c r="G106" s="12">
        <v>68</v>
      </c>
      <c r="H106" s="13" t="s">
        <v>24</v>
      </c>
      <c r="I106" s="13" t="str">
        <f>VLOOKUP(TRIM(C106),'Lookup Department'!$A$1:$B$7,2,FALSE)</f>
        <v>Operations</v>
      </c>
      <c r="J106" s="13" t="str">
        <f t="shared" si="8"/>
        <v>Developing</v>
      </c>
      <c r="K106" s="17">
        <f t="shared" si="9"/>
        <v>1623.3400000000001</v>
      </c>
      <c r="L106" s="13" t="str" cm="1">
        <f t="array" ref="L106">_xlfn.IFS(Table2[[#This Row],[Employment Status]]="Left","Yes",Table2[[#This Row],[Employment Status]]="Resigned","Yes","TRUE","No")</f>
        <v>No</v>
      </c>
    </row>
    <row r="107" spans="1:12" x14ac:dyDescent="0.25">
      <c r="A107" s="16" t="s">
        <v>127</v>
      </c>
      <c r="B107" s="13" t="s">
        <v>273</v>
      </c>
      <c r="C107" s="13" t="s">
        <v>9</v>
      </c>
      <c r="D107" s="14">
        <v>44349</v>
      </c>
      <c r="E107" s="14" t="str">
        <f t="shared" ca="1" si="7"/>
        <v>5 Years, 1 Months</v>
      </c>
      <c r="F107" s="15">
        <v>66688</v>
      </c>
      <c r="G107" s="12">
        <v>40</v>
      </c>
      <c r="H107" s="13" t="s">
        <v>15</v>
      </c>
      <c r="I107" s="13" t="str">
        <f>VLOOKUP(TRIM(C107),'Lookup Department'!$A$1:$B$7,2,FALSE)</f>
        <v>Marketing</v>
      </c>
      <c r="J107" s="13" t="str">
        <f t="shared" si="8"/>
        <v>Needs Improvement</v>
      </c>
      <c r="K107" s="17">
        <f t="shared" si="9"/>
        <v>0</v>
      </c>
      <c r="L107" s="13" t="str" cm="1">
        <f t="array" ref="L107">_xlfn.IFS(Table2[[#This Row],[Employment Status]]="Left","Yes",Table2[[#This Row],[Employment Status]]="Resigned","Yes","TRUE","No")</f>
        <v>Yes</v>
      </c>
    </row>
    <row r="108" spans="1:12" x14ac:dyDescent="0.25">
      <c r="A108" s="16" t="s">
        <v>128</v>
      </c>
      <c r="B108" s="13" t="s">
        <v>274</v>
      </c>
      <c r="C108" s="13" t="s">
        <v>7</v>
      </c>
      <c r="D108" s="14">
        <v>44394</v>
      </c>
      <c r="E108" s="14" t="str">
        <f t="shared" ca="1" si="7"/>
        <v>4 Years, 11 Months</v>
      </c>
      <c r="F108" s="15">
        <v>91672</v>
      </c>
      <c r="G108" s="12">
        <v>88</v>
      </c>
      <c r="H108" s="13" t="s">
        <v>24</v>
      </c>
      <c r="I108" s="13" t="str">
        <f>VLOOKUP(TRIM(C108),'Lookup Department'!$A$1:$B$7,2,FALSE)</f>
        <v>Information Technology</v>
      </c>
      <c r="J108" s="13" t="str">
        <f t="shared" si="8"/>
        <v>Exceeding</v>
      </c>
      <c r="K108" s="17">
        <f t="shared" si="9"/>
        <v>7333.76</v>
      </c>
      <c r="L108" s="13" t="str" cm="1">
        <f t="array" ref="L108">_xlfn.IFS(Table2[[#This Row],[Employment Status]]="Left","Yes",Table2[[#This Row],[Employment Status]]="Resigned","Yes","TRUE","No")</f>
        <v>No</v>
      </c>
    </row>
    <row r="109" spans="1:12" x14ac:dyDescent="0.25">
      <c r="A109" s="16" t="s">
        <v>129</v>
      </c>
      <c r="B109" s="13" t="s">
        <v>275</v>
      </c>
      <c r="C109" s="13" t="s">
        <v>89</v>
      </c>
      <c r="D109" s="14">
        <v>42687</v>
      </c>
      <c r="E109" s="14" t="str">
        <f t="shared" ca="1" si="7"/>
        <v>9 Years, 7 Months</v>
      </c>
      <c r="F109" s="15">
        <v>77737</v>
      </c>
      <c r="G109" s="12">
        <v>77</v>
      </c>
      <c r="H109" s="13" t="s">
        <v>24</v>
      </c>
      <c r="I109" s="13" t="str">
        <f>VLOOKUP(TRIM(C109),'Lookup Department'!$A$1:$B$7,2,FALSE)</f>
        <v>Human Resources</v>
      </c>
      <c r="J109" s="13" t="str">
        <f t="shared" si="8"/>
        <v>Achieving</v>
      </c>
      <c r="K109" s="17">
        <f t="shared" si="9"/>
        <v>3886.8500000000004</v>
      </c>
      <c r="L109" s="13" t="str" cm="1">
        <f t="array" ref="L109">_xlfn.IFS(Table2[[#This Row],[Employment Status]]="Left","Yes",Table2[[#This Row],[Employment Status]]="Resigned","Yes","TRUE","No")</f>
        <v>No</v>
      </c>
    </row>
    <row r="110" spans="1:12" x14ac:dyDescent="0.25">
      <c r="A110" s="16" t="s">
        <v>130</v>
      </c>
      <c r="B110" s="13" t="s">
        <v>225</v>
      </c>
      <c r="C110" s="13" t="s">
        <v>43</v>
      </c>
      <c r="D110" s="14">
        <v>43513</v>
      </c>
      <c r="E110" s="14" t="str">
        <f t="shared" ca="1" si="7"/>
        <v>7 Years, 4 Months</v>
      </c>
      <c r="F110" s="15">
        <v>95686</v>
      </c>
      <c r="G110" s="12">
        <v>91</v>
      </c>
      <c r="H110" s="13" t="s">
        <v>24</v>
      </c>
      <c r="I110" s="13" t="str">
        <f>VLOOKUP(TRIM(C110),'Lookup Department'!$A$1:$B$7,2,FALSE)</f>
        <v>Sales</v>
      </c>
      <c r="J110" s="13" t="str">
        <f t="shared" si="8"/>
        <v>Exceeding</v>
      </c>
      <c r="K110" s="17">
        <f t="shared" si="9"/>
        <v>7654.88</v>
      </c>
      <c r="L110" s="13" t="str" cm="1">
        <f t="array" ref="L110">_xlfn.IFS(Table2[[#This Row],[Employment Status]]="Left","Yes",Table2[[#This Row],[Employment Status]]="Resigned","Yes","TRUE","No")</f>
        <v>No</v>
      </c>
    </row>
    <row r="111" spans="1:12" x14ac:dyDescent="0.25">
      <c r="A111" s="16" t="s">
        <v>131</v>
      </c>
      <c r="B111" s="13" t="s">
        <v>197</v>
      </c>
      <c r="C111" s="13" t="s">
        <v>23</v>
      </c>
      <c r="D111" s="14">
        <v>42625</v>
      </c>
      <c r="E111" s="14" t="str">
        <f t="shared" ca="1" si="7"/>
        <v>9 Years, 9 Months</v>
      </c>
      <c r="F111" s="15">
        <v>114681</v>
      </c>
      <c r="G111" s="12">
        <v>36</v>
      </c>
      <c r="H111" s="13" t="s">
        <v>24</v>
      </c>
      <c r="I111" s="13" t="str">
        <f>VLOOKUP(TRIM(C111),'Lookup Department'!$A$1:$B$7,2,FALSE)</f>
        <v>Sales</v>
      </c>
      <c r="J111" s="13" t="str">
        <f t="shared" si="8"/>
        <v>Needs Improvement</v>
      </c>
      <c r="K111" s="17">
        <f t="shared" si="9"/>
        <v>0</v>
      </c>
      <c r="L111" s="13" t="str" cm="1">
        <f t="array" ref="L111">_xlfn.IFS(Table2[[#This Row],[Employment Status]]="Left","Yes",Table2[[#This Row],[Employment Status]]="Resigned","Yes","TRUE","No")</f>
        <v>No</v>
      </c>
    </row>
    <row r="112" spans="1:12" x14ac:dyDescent="0.25">
      <c r="A112" s="16" t="s">
        <v>132</v>
      </c>
      <c r="B112" s="13" t="s">
        <v>246</v>
      </c>
      <c r="C112" s="13" t="s">
        <v>19</v>
      </c>
      <c r="D112" s="14">
        <v>44421</v>
      </c>
      <c r="E112" s="14" t="str">
        <f t="shared" ca="1" si="7"/>
        <v>4 Years, 10 Months</v>
      </c>
      <c r="F112" s="15">
        <v>109121</v>
      </c>
      <c r="G112" s="12">
        <v>72</v>
      </c>
      <c r="H112" s="13" t="s">
        <v>24</v>
      </c>
      <c r="I112" s="13" t="str">
        <f>VLOOKUP(TRIM(C112),'Lookup Department'!$A$1:$B$7,2,FALSE)</f>
        <v>Operations</v>
      </c>
      <c r="J112" s="13" t="str">
        <f t="shared" si="8"/>
        <v>Achieving</v>
      </c>
      <c r="K112" s="17">
        <f t="shared" si="9"/>
        <v>5456.05</v>
      </c>
      <c r="L112" s="13" t="str" cm="1">
        <f t="array" ref="L112">_xlfn.IFS(Table2[[#This Row],[Employment Status]]="Left","Yes",Table2[[#This Row],[Employment Status]]="Resigned","Yes","TRUE","No")</f>
        <v>No</v>
      </c>
    </row>
    <row r="113" spans="1:12" x14ac:dyDescent="0.25">
      <c r="A113" s="16" t="s">
        <v>133</v>
      </c>
      <c r="B113" s="13" t="s">
        <v>276</v>
      </c>
      <c r="C113" s="13" t="s">
        <v>9</v>
      </c>
      <c r="D113" s="14">
        <v>43996</v>
      </c>
      <c r="E113" s="14" t="str">
        <f t="shared" ca="1" si="7"/>
        <v>6 Years, 0 Months</v>
      </c>
      <c r="F113" s="15">
        <v>112791</v>
      </c>
      <c r="G113" s="12">
        <v>87</v>
      </c>
      <c r="H113" s="13" t="s">
        <v>24</v>
      </c>
      <c r="I113" s="13" t="str">
        <f>VLOOKUP(TRIM(C113),'Lookup Department'!$A$1:$B$7,2,FALSE)</f>
        <v>Marketing</v>
      </c>
      <c r="J113" s="13" t="str">
        <f t="shared" si="8"/>
        <v>Exceeding</v>
      </c>
      <c r="K113" s="17">
        <f t="shared" si="9"/>
        <v>9023.2800000000007</v>
      </c>
      <c r="L113" s="13" t="str" cm="1">
        <f t="array" ref="L113">_xlfn.IFS(Table2[[#This Row],[Employment Status]]="Left","Yes",Table2[[#This Row],[Employment Status]]="Resigned","Yes","TRUE","No")</f>
        <v>No</v>
      </c>
    </row>
    <row r="114" spans="1:12" x14ac:dyDescent="0.25">
      <c r="A114" s="16" t="s">
        <v>134</v>
      </c>
      <c r="B114" s="13" t="s">
        <v>277</v>
      </c>
      <c r="C114" s="13" t="s">
        <v>11</v>
      </c>
      <c r="D114" s="14">
        <v>44747</v>
      </c>
      <c r="E114" s="14" t="str">
        <f t="shared" ca="1" si="7"/>
        <v>4 Years, 0 Months</v>
      </c>
      <c r="F114" s="15">
        <v>118008</v>
      </c>
      <c r="G114" s="12">
        <v>71</v>
      </c>
      <c r="H114" s="13" t="s">
        <v>24</v>
      </c>
      <c r="I114" s="13" t="str">
        <f>VLOOKUP(TRIM(C114),'Lookup Department'!$A$1:$B$7,2,FALSE)</f>
        <v>Information Technology</v>
      </c>
      <c r="J114" s="13" t="str">
        <f t="shared" si="8"/>
        <v>Achieving</v>
      </c>
      <c r="K114" s="17">
        <f t="shared" si="9"/>
        <v>5900.4000000000005</v>
      </c>
      <c r="L114" s="13" t="str" cm="1">
        <f t="array" ref="L114">_xlfn.IFS(Table2[[#This Row],[Employment Status]]="Left","Yes",Table2[[#This Row],[Employment Status]]="Resigned","Yes","TRUE","No")</f>
        <v>No</v>
      </c>
    </row>
    <row r="115" spans="1:12" x14ac:dyDescent="0.25">
      <c r="A115" s="16" t="s">
        <v>135</v>
      </c>
      <c r="B115" s="13" t="s">
        <v>265</v>
      </c>
      <c r="C115" s="13" t="s">
        <v>7</v>
      </c>
      <c r="D115" s="14">
        <v>42561</v>
      </c>
      <c r="E115" s="14" t="str">
        <f t="shared" ca="1" si="7"/>
        <v>9 Years, 11 Months</v>
      </c>
      <c r="F115" s="15">
        <v>74370</v>
      </c>
      <c r="G115" s="12">
        <v>82</v>
      </c>
      <c r="H115" s="13" t="s">
        <v>24</v>
      </c>
      <c r="I115" s="13" t="str">
        <f>VLOOKUP(TRIM(C115),'Lookup Department'!$A$1:$B$7,2,FALSE)</f>
        <v>Information Technology</v>
      </c>
      <c r="J115" s="13" t="str">
        <f t="shared" si="8"/>
        <v>Achieving</v>
      </c>
      <c r="K115" s="17">
        <f t="shared" si="9"/>
        <v>3718.5</v>
      </c>
      <c r="L115" s="13" t="str" cm="1">
        <f t="array" ref="L115">_xlfn.IFS(Table2[[#This Row],[Employment Status]]="Left","Yes",Table2[[#This Row],[Employment Status]]="Resigned","Yes","TRUE","No")</f>
        <v>No</v>
      </c>
    </row>
    <row r="116" spans="1:12" x14ac:dyDescent="0.25">
      <c r="A116" s="16" t="s">
        <v>136</v>
      </c>
      <c r="B116" s="13" t="s">
        <v>278</v>
      </c>
      <c r="C116" s="13" t="s">
        <v>11</v>
      </c>
      <c r="D116" s="14">
        <v>44674</v>
      </c>
      <c r="E116" s="14" t="str">
        <f t="shared" ca="1" si="7"/>
        <v>4 Years, 2 Months</v>
      </c>
      <c r="F116" s="15">
        <v>77819</v>
      </c>
      <c r="G116" s="12">
        <v>79</v>
      </c>
      <c r="H116" s="13" t="s">
        <v>24</v>
      </c>
      <c r="I116" s="13" t="str">
        <f>VLOOKUP(TRIM(C116),'Lookup Department'!$A$1:$B$7,2,FALSE)</f>
        <v>Information Technology</v>
      </c>
      <c r="J116" s="13" t="str">
        <f t="shared" si="8"/>
        <v>Achieving</v>
      </c>
      <c r="K116" s="17">
        <f t="shared" si="9"/>
        <v>3890.9500000000003</v>
      </c>
      <c r="L116" s="13" t="str" cm="1">
        <f t="array" ref="L116">_xlfn.IFS(Table2[[#This Row],[Employment Status]]="Left","Yes",Table2[[#This Row],[Employment Status]]="Resigned","Yes","TRUE","No")</f>
        <v>No</v>
      </c>
    </row>
    <row r="117" spans="1:12" x14ac:dyDescent="0.25">
      <c r="A117" s="16" t="s">
        <v>137</v>
      </c>
      <c r="B117" s="13" t="s">
        <v>203</v>
      </c>
      <c r="C117" s="13" t="s">
        <v>30</v>
      </c>
      <c r="D117" s="14">
        <v>42865</v>
      </c>
      <c r="E117" s="14" t="str">
        <f t="shared" ca="1" si="7"/>
        <v>9 Years, 1 Months</v>
      </c>
      <c r="F117" s="15">
        <v>48748</v>
      </c>
      <c r="G117" s="12">
        <v>83</v>
      </c>
      <c r="H117" s="13" t="s">
        <v>24</v>
      </c>
      <c r="I117" s="13" t="str">
        <f>VLOOKUP(TRIM(C117),'Lookup Department'!$A$1:$B$7,2,FALSE)</f>
        <v>Marketing</v>
      </c>
      <c r="J117" s="13" t="str">
        <f t="shared" si="8"/>
        <v>Achieving</v>
      </c>
      <c r="K117" s="17">
        <f t="shared" si="9"/>
        <v>2437.4</v>
      </c>
      <c r="L117" s="13" t="str" cm="1">
        <f t="array" ref="L117">_xlfn.IFS(Table2[[#This Row],[Employment Status]]="Left","Yes",Table2[[#This Row],[Employment Status]]="Resigned","Yes","TRUE","No")</f>
        <v>No</v>
      </c>
    </row>
    <row r="118" spans="1:12" x14ac:dyDescent="0.25">
      <c r="A118" s="16" t="s">
        <v>138</v>
      </c>
      <c r="B118" s="13" t="s">
        <v>279</v>
      </c>
      <c r="C118" s="13" t="s">
        <v>17</v>
      </c>
      <c r="D118" s="14">
        <v>43971</v>
      </c>
      <c r="E118" s="14" t="str">
        <f t="shared" ca="1" si="7"/>
        <v>6 Years, 1 Months</v>
      </c>
      <c r="F118" s="15">
        <v>101997</v>
      </c>
      <c r="G118" s="12">
        <v>38</v>
      </c>
      <c r="H118" s="13" t="s">
        <v>62</v>
      </c>
      <c r="I118" s="13" t="str">
        <f>VLOOKUP(TRIM(C118),'Lookup Department'!$A$1:$B$7,2,FALSE)</f>
        <v>Operations</v>
      </c>
      <c r="J118" s="13" t="str">
        <f t="shared" si="8"/>
        <v>Needs Improvement</v>
      </c>
      <c r="K118" s="17">
        <f t="shared" si="9"/>
        <v>0</v>
      </c>
      <c r="L118" s="13" t="str" cm="1">
        <f t="array" ref="L118">_xlfn.IFS(Table2[[#This Row],[Employment Status]]="Left","Yes",Table2[[#This Row],[Employment Status]]="Resigned","Yes","TRUE","No")</f>
        <v>Yes</v>
      </c>
    </row>
    <row r="119" spans="1:12" x14ac:dyDescent="0.25">
      <c r="A119" s="16" t="s">
        <v>139</v>
      </c>
      <c r="B119" s="13" t="s">
        <v>280</v>
      </c>
      <c r="C119" s="13" t="s">
        <v>52</v>
      </c>
      <c r="D119" s="14">
        <v>45036</v>
      </c>
      <c r="E119" s="14" t="str">
        <f t="shared" ca="1" si="7"/>
        <v>3 Years, 2 Months</v>
      </c>
      <c r="F119" s="15">
        <v>115260</v>
      </c>
      <c r="G119" s="12">
        <v>77</v>
      </c>
      <c r="H119" s="13" t="s">
        <v>24</v>
      </c>
      <c r="I119" s="13" t="str">
        <f>VLOOKUP(TRIM(C119),'Lookup Department'!$A$1:$B$7,2,FALSE)</f>
        <v>Human Resources</v>
      </c>
      <c r="J119" s="13" t="str">
        <f t="shared" si="8"/>
        <v>Achieving</v>
      </c>
      <c r="K119" s="17">
        <f t="shared" si="9"/>
        <v>5763</v>
      </c>
      <c r="L119" s="13" t="str" cm="1">
        <f t="array" ref="L119">_xlfn.IFS(Table2[[#This Row],[Employment Status]]="Left","Yes",Table2[[#This Row],[Employment Status]]="Resigned","Yes","TRUE","No")</f>
        <v>No</v>
      </c>
    </row>
    <row r="120" spans="1:12" x14ac:dyDescent="0.25">
      <c r="A120" s="16" t="s">
        <v>140</v>
      </c>
      <c r="B120" s="13" t="s">
        <v>281</v>
      </c>
      <c r="C120" s="13" t="s">
        <v>23</v>
      </c>
      <c r="D120" s="14">
        <v>44500</v>
      </c>
      <c r="E120" s="14" t="str">
        <f t="shared" ca="1" si="7"/>
        <v>4 Years, 8 Months</v>
      </c>
      <c r="F120" s="15">
        <v>82713.429999999993</v>
      </c>
      <c r="G120" s="12">
        <v>49</v>
      </c>
      <c r="H120" s="13" t="s">
        <v>24</v>
      </c>
      <c r="I120" s="13" t="str">
        <f>VLOOKUP(TRIM(C120),'Lookup Department'!$A$1:$B$7,2,FALSE)</f>
        <v>Sales</v>
      </c>
      <c r="J120" s="13" t="str">
        <f t="shared" si="8"/>
        <v>Needs Improvement</v>
      </c>
      <c r="K120" s="17">
        <f t="shared" si="9"/>
        <v>0</v>
      </c>
      <c r="L120" s="13" t="str" cm="1">
        <f t="array" ref="L120">_xlfn.IFS(Table2[[#This Row],[Employment Status]]="Left","Yes",Table2[[#This Row],[Employment Status]]="Resigned","Yes","TRUE","No")</f>
        <v>No</v>
      </c>
    </row>
    <row r="121" spans="1:12" x14ac:dyDescent="0.25">
      <c r="A121" s="16" t="s">
        <v>141</v>
      </c>
      <c r="B121" s="13" t="s">
        <v>223</v>
      </c>
      <c r="C121" s="13" t="s">
        <v>11</v>
      </c>
      <c r="D121" s="14">
        <v>44493</v>
      </c>
      <c r="E121" s="14" t="str">
        <f t="shared" ca="1" si="7"/>
        <v>4 Years, 8 Months</v>
      </c>
      <c r="F121" s="15">
        <v>82713.429999999993</v>
      </c>
      <c r="G121" s="12">
        <v>69</v>
      </c>
      <c r="H121" s="13" t="s">
        <v>15</v>
      </c>
      <c r="I121" s="13" t="str">
        <f>VLOOKUP(TRIM(C121),'Lookup Department'!$A$1:$B$7,2,FALSE)</f>
        <v>Information Technology</v>
      </c>
      <c r="J121" s="13" t="str">
        <f t="shared" si="8"/>
        <v>Developing</v>
      </c>
      <c r="K121" s="17">
        <f t="shared" si="9"/>
        <v>1654.2685999999999</v>
      </c>
      <c r="L121" s="13" t="str" cm="1">
        <f t="array" ref="L121">_xlfn.IFS(Table2[[#This Row],[Employment Status]]="Left","Yes",Table2[[#This Row],[Employment Status]]="Resigned","Yes","TRUE","No")</f>
        <v>Yes</v>
      </c>
    </row>
    <row r="122" spans="1:12" x14ac:dyDescent="0.25">
      <c r="A122" s="16" t="s">
        <v>142</v>
      </c>
      <c r="B122" s="13" t="s">
        <v>282</v>
      </c>
      <c r="C122" s="13" t="s">
        <v>23</v>
      </c>
      <c r="D122" s="14">
        <v>42956</v>
      </c>
      <c r="E122" s="14" t="str">
        <f t="shared" ca="1" si="7"/>
        <v>8 Years, 10 Months</v>
      </c>
      <c r="F122" s="15">
        <v>82713.429999999993</v>
      </c>
      <c r="G122" s="12">
        <v>76</v>
      </c>
      <c r="H122" s="13" t="s">
        <v>24</v>
      </c>
      <c r="I122" s="13" t="str">
        <f>VLOOKUP(TRIM(C122),'Lookup Department'!$A$1:$B$7,2,FALSE)</f>
        <v>Sales</v>
      </c>
      <c r="J122" s="13" t="str">
        <f t="shared" si="8"/>
        <v>Achieving</v>
      </c>
      <c r="K122" s="17">
        <f t="shared" si="9"/>
        <v>4135.6714999999995</v>
      </c>
      <c r="L122" s="13" t="str" cm="1">
        <f t="array" ref="L122">_xlfn.IFS(Table2[[#This Row],[Employment Status]]="Left","Yes",Table2[[#This Row],[Employment Status]]="Resigned","Yes","TRUE","No")</f>
        <v>No</v>
      </c>
    </row>
    <row r="123" spans="1:12" x14ac:dyDescent="0.25">
      <c r="A123" s="16" t="s">
        <v>143</v>
      </c>
      <c r="B123" s="13" t="s">
        <v>283</v>
      </c>
      <c r="C123" s="13" t="s">
        <v>17</v>
      </c>
      <c r="D123" s="14">
        <v>44930</v>
      </c>
      <c r="E123" s="14" t="str">
        <f t="shared" ca="1" si="7"/>
        <v>3 Years, 6 Months</v>
      </c>
      <c r="F123" s="15">
        <v>60623</v>
      </c>
      <c r="G123" s="12">
        <v>78</v>
      </c>
      <c r="H123" s="13" t="s">
        <v>24</v>
      </c>
      <c r="I123" s="13" t="str">
        <f>VLOOKUP(TRIM(C123),'Lookup Department'!$A$1:$B$7,2,FALSE)</f>
        <v>Operations</v>
      </c>
      <c r="J123" s="13" t="str">
        <f t="shared" si="8"/>
        <v>Achieving</v>
      </c>
      <c r="K123" s="17">
        <f t="shared" si="9"/>
        <v>3031.15</v>
      </c>
      <c r="L123" s="13" t="str" cm="1">
        <f t="array" ref="L123">_xlfn.IFS(Table2[[#This Row],[Employment Status]]="Left","Yes",Table2[[#This Row],[Employment Status]]="Resigned","Yes","TRUE","No")</f>
        <v>No</v>
      </c>
    </row>
    <row r="124" spans="1:12" x14ac:dyDescent="0.25">
      <c r="A124" s="16" t="s">
        <v>144</v>
      </c>
      <c r="B124" s="13" t="s">
        <v>235</v>
      </c>
      <c r="C124" s="13" t="s">
        <v>89</v>
      </c>
      <c r="D124" s="14">
        <v>44053</v>
      </c>
      <c r="E124" s="14" t="str">
        <f t="shared" ca="1" si="7"/>
        <v>5 Years, 10 Months</v>
      </c>
      <c r="F124" s="15">
        <v>68092</v>
      </c>
      <c r="G124" s="12">
        <v>93</v>
      </c>
      <c r="H124" s="13" t="s">
        <v>24</v>
      </c>
      <c r="I124" s="13" t="str">
        <f>VLOOKUP(TRIM(C124),'Lookup Department'!$A$1:$B$7,2,FALSE)</f>
        <v>Human Resources</v>
      </c>
      <c r="J124" s="13" t="str">
        <f t="shared" si="8"/>
        <v>Exceeding</v>
      </c>
      <c r="K124" s="17">
        <f t="shared" si="9"/>
        <v>5447.36</v>
      </c>
      <c r="L124" s="13" t="str" cm="1">
        <f t="array" ref="L124">_xlfn.IFS(Table2[[#This Row],[Employment Status]]="Left","Yes",Table2[[#This Row],[Employment Status]]="Resigned","Yes","TRUE","No")</f>
        <v>No</v>
      </c>
    </row>
    <row r="125" spans="1:12" x14ac:dyDescent="0.25">
      <c r="A125" s="16" t="s">
        <v>145</v>
      </c>
      <c r="B125" s="13" t="s">
        <v>215</v>
      </c>
      <c r="C125" s="13" t="s">
        <v>9</v>
      </c>
      <c r="D125" s="14">
        <v>44653</v>
      </c>
      <c r="E125" s="14" t="str">
        <f t="shared" ca="1" si="7"/>
        <v>4 Years, 3 Months</v>
      </c>
      <c r="F125" s="15">
        <v>88155</v>
      </c>
      <c r="G125" s="12">
        <v>68</v>
      </c>
      <c r="H125" s="13" t="s">
        <v>24</v>
      </c>
      <c r="I125" s="13" t="str">
        <f>VLOOKUP(TRIM(C125),'Lookup Department'!$A$1:$B$7,2,FALSE)</f>
        <v>Marketing</v>
      </c>
      <c r="J125" s="13" t="str">
        <f t="shared" si="8"/>
        <v>Developing</v>
      </c>
      <c r="K125" s="17">
        <f t="shared" si="9"/>
        <v>1763.1000000000001</v>
      </c>
      <c r="L125" s="13" t="str" cm="1">
        <f t="array" ref="L125">_xlfn.IFS(Table2[[#This Row],[Employment Status]]="Left","Yes",Table2[[#This Row],[Employment Status]]="Resigned","Yes","TRUE","No")</f>
        <v>No</v>
      </c>
    </row>
    <row r="126" spans="1:12" x14ac:dyDescent="0.25">
      <c r="A126" s="16" t="s">
        <v>146</v>
      </c>
      <c r="B126" s="13" t="s">
        <v>284</v>
      </c>
      <c r="C126" s="13" t="s">
        <v>9</v>
      </c>
      <c r="D126" s="14">
        <v>43183</v>
      </c>
      <c r="E126" s="14" t="str">
        <f t="shared" ca="1" si="7"/>
        <v>8 Years, 3 Months</v>
      </c>
      <c r="F126" s="15">
        <v>107903</v>
      </c>
      <c r="G126" s="12">
        <v>42</v>
      </c>
      <c r="H126" s="13" t="s">
        <v>24</v>
      </c>
      <c r="I126" s="13" t="str">
        <f>VLOOKUP(TRIM(C126),'Lookup Department'!$A$1:$B$7,2,FALSE)</f>
        <v>Marketing</v>
      </c>
      <c r="J126" s="13" t="str">
        <f t="shared" si="8"/>
        <v>Needs Improvement</v>
      </c>
      <c r="K126" s="17">
        <f t="shared" si="9"/>
        <v>0</v>
      </c>
      <c r="L126" s="13" t="str" cm="1">
        <f t="array" ref="L126">_xlfn.IFS(Table2[[#This Row],[Employment Status]]="Left","Yes",Table2[[#This Row],[Employment Status]]="Resigned","Yes","TRUE","No")</f>
        <v>No</v>
      </c>
    </row>
    <row r="127" spans="1:12" x14ac:dyDescent="0.25">
      <c r="A127" s="16" t="s">
        <v>147</v>
      </c>
      <c r="B127" s="13" t="s">
        <v>273</v>
      </c>
      <c r="C127" s="13" t="s">
        <v>7</v>
      </c>
      <c r="D127" s="14">
        <v>43305</v>
      </c>
      <c r="E127" s="14" t="str">
        <f t="shared" ca="1" si="7"/>
        <v>7 Years, 11 Months</v>
      </c>
      <c r="F127" s="15">
        <v>62818</v>
      </c>
      <c r="G127" s="12">
        <v>34</v>
      </c>
      <c r="H127" s="13" t="s">
        <v>24</v>
      </c>
      <c r="I127" s="13" t="str">
        <f>VLOOKUP(TRIM(C127),'Lookup Department'!$A$1:$B$7,2,FALSE)</f>
        <v>Information Technology</v>
      </c>
      <c r="J127" s="13" t="str">
        <f t="shared" si="8"/>
        <v>Needs Improvement</v>
      </c>
      <c r="K127" s="17">
        <f t="shared" si="9"/>
        <v>0</v>
      </c>
      <c r="L127" s="13" t="str" cm="1">
        <f t="array" ref="L127">_xlfn.IFS(Table2[[#This Row],[Employment Status]]="Left","Yes",Table2[[#This Row],[Employment Status]]="Resigned","Yes","TRUE","No")</f>
        <v>No</v>
      </c>
    </row>
    <row r="128" spans="1:12" x14ac:dyDescent="0.25">
      <c r="A128" s="16" t="s">
        <v>148</v>
      </c>
      <c r="B128" s="13" t="s">
        <v>260</v>
      </c>
      <c r="C128" s="13" t="s">
        <v>89</v>
      </c>
      <c r="D128" s="14">
        <v>43301</v>
      </c>
      <c r="E128" s="14" t="str">
        <f t="shared" ca="1" si="7"/>
        <v>7 Years, 11 Months</v>
      </c>
      <c r="F128" s="15">
        <v>85151</v>
      </c>
      <c r="G128" s="12">
        <v>35</v>
      </c>
      <c r="H128" s="13" t="s">
        <v>24</v>
      </c>
      <c r="I128" s="13" t="str">
        <f>VLOOKUP(TRIM(C128),'Lookup Department'!$A$1:$B$7,2,FALSE)</f>
        <v>Human Resources</v>
      </c>
      <c r="J128" s="13" t="str">
        <f t="shared" si="8"/>
        <v>Needs Improvement</v>
      </c>
      <c r="K128" s="17">
        <f t="shared" si="9"/>
        <v>0</v>
      </c>
      <c r="L128" s="13" t="str" cm="1">
        <f t="array" ref="L128">_xlfn.IFS(Table2[[#This Row],[Employment Status]]="Left","Yes",Table2[[#This Row],[Employment Status]]="Resigned","Yes","TRUE","No")</f>
        <v>No</v>
      </c>
    </row>
    <row r="129" spans="1:12" x14ac:dyDescent="0.25">
      <c r="A129" s="16" t="s">
        <v>149</v>
      </c>
      <c r="B129" s="13" t="s">
        <v>236</v>
      </c>
      <c r="C129" s="13" t="s">
        <v>40</v>
      </c>
      <c r="D129" s="14">
        <v>42433</v>
      </c>
      <c r="E129" s="14" t="str">
        <f t="shared" ca="1" si="7"/>
        <v>10 Years, 4 Months</v>
      </c>
      <c r="F129" s="15">
        <v>46390</v>
      </c>
      <c r="G129" s="12">
        <v>95</v>
      </c>
      <c r="H129" s="13" t="s">
        <v>24</v>
      </c>
      <c r="I129" s="13" t="str">
        <f>VLOOKUP(TRIM(C129),'Lookup Department'!$A$1:$B$7,2,FALSE)</f>
        <v>Finance</v>
      </c>
      <c r="J129" s="13" t="str">
        <f t="shared" si="8"/>
        <v>Outstanding</v>
      </c>
      <c r="K129" s="17">
        <f t="shared" si="9"/>
        <v>5566.8</v>
      </c>
      <c r="L129" s="13" t="str" cm="1">
        <f t="array" ref="L129">_xlfn.IFS(Table2[[#This Row],[Employment Status]]="Left","Yes",Table2[[#This Row],[Employment Status]]="Resigned","Yes","TRUE","No")</f>
        <v>No</v>
      </c>
    </row>
    <row r="130" spans="1:12" x14ac:dyDescent="0.25">
      <c r="A130" s="16" t="s">
        <v>150</v>
      </c>
      <c r="B130" s="13" t="s">
        <v>193</v>
      </c>
      <c r="C130" s="13" t="s">
        <v>89</v>
      </c>
      <c r="D130" s="14">
        <v>44643</v>
      </c>
      <c r="E130" s="14" t="str">
        <f t="shared" ca="1" si="7"/>
        <v>4 Years, 3 Months</v>
      </c>
      <c r="F130" s="15">
        <v>111920</v>
      </c>
      <c r="G130" s="12">
        <v>90</v>
      </c>
      <c r="H130" s="13" t="s">
        <v>15</v>
      </c>
      <c r="I130" s="13" t="str">
        <f>VLOOKUP(TRIM(C130),'Lookup Department'!$A$1:$B$7,2,FALSE)</f>
        <v>Human Resources</v>
      </c>
      <c r="J130" s="13" t="str">
        <f t="shared" ref="J130:J151" si="10">IF(G130&lt;=49,"Needs Improvement",
IF(G130&lt;=69,"Developing",
IF(G130&lt;=84,"Achieving",
IF(G130&lt;=94,"Exceeding",
"Outstanding"))))</f>
        <v>Exceeding</v>
      </c>
      <c r="K130" s="17">
        <f t="shared" ref="K130:K151" si="11">IF(J130="Needs Improvement",F130*0,
IF(J130="Developing",F130*0.02,
IF(J130="Achieving",F130*0.05,
IF(J130="Exceeding",F130*0.08,
IF(J130="Outstanding",F130*0.12,0)))))</f>
        <v>8953.6</v>
      </c>
      <c r="L130" s="13" t="str" cm="1">
        <f t="array" ref="L130">_xlfn.IFS(Table2[[#This Row],[Employment Status]]="Left","Yes",Table2[[#This Row],[Employment Status]]="Resigned","Yes","TRUE","No")</f>
        <v>Yes</v>
      </c>
    </row>
    <row r="131" spans="1:12" x14ac:dyDescent="0.25">
      <c r="A131" s="16" t="s">
        <v>151</v>
      </c>
      <c r="B131" s="13" t="s">
        <v>285</v>
      </c>
      <c r="C131" s="13" t="s">
        <v>52</v>
      </c>
      <c r="D131" s="14">
        <v>42944</v>
      </c>
      <c r="E131" s="14" t="str">
        <f t="shared" ref="E131:E150" ca="1" si="12">DATEDIF(D131,TODAY(),"Y")&amp;" Years, "&amp;DATEDIF(D131,TODAY(),"YM")&amp;" Months"</f>
        <v>8 Years, 11 Months</v>
      </c>
      <c r="F131" s="15">
        <v>115618</v>
      </c>
      <c r="G131" s="12">
        <v>42</v>
      </c>
      <c r="H131" s="13" t="s">
        <v>24</v>
      </c>
      <c r="I131" s="13" t="str">
        <f>VLOOKUP(TRIM(C131),'Lookup Department'!$A$1:$B$7,2,FALSE)</f>
        <v>Human Resources</v>
      </c>
      <c r="J131" s="13" t="str">
        <f t="shared" si="10"/>
        <v>Needs Improvement</v>
      </c>
      <c r="K131" s="17">
        <f t="shared" si="11"/>
        <v>0</v>
      </c>
      <c r="L131" s="13" t="str" cm="1">
        <f t="array" ref="L131">_xlfn.IFS(Table2[[#This Row],[Employment Status]]="Left","Yes",Table2[[#This Row],[Employment Status]]="Resigned","Yes","TRUE","No")</f>
        <v>No</v>
      </c>
    </row>
    <row r="132" spans="1:12" x14ac:dyDescent="0.25">
      <c r="A132" s="16" t="s">
        <v>152</v>
      </c>
      <c r="B132" s="13" t="s">
        <v>286</v>
      </c>
      <c r="C132" s="13" t="s">
        <v>23</v>
      </c>
      <c r="D132" s="14">
        <v>45057</v>
      </c>
      <c r="E132" s="14" t="str">
        <f t="shared" ca="1" si="12"/>
        <v>3 Years, 1 Months</v>
      </c>
      <c r="F132" s="15">
        <v>110618</v>
      </c>
      <c r="G132" s="12">
        <v>88</v>
      </c>
      <c r="H132" s="13" t="s">
        <v>62</v>
      </c>
      <c r="I132" s="13" t="str">
        <f>VLOOKUP(TRIM(C132),'Lookup Department'!$A$1:$B$7,2,FALSE)</f>
        <v>Sales</v>
      </c>
      <c r="J132" s="13" t="str">
        <f t="shared" si="10"/>
        <v>Exceeding</v>
      </c>
      <c r="K132" s="17">
        <f t="shared" si="11"/>
        <v>8849.44</v>
      </c>
      <c r="L132" s="13" t="str" cm="1">
        <f t="array" ref="L132">_xlfn.IFS(Table2[[#This Row],[Employment Status]]="Left","Yes",Table2[[#This Row],[Employment Status]]="Resigned","Yes","TRUE","No")</f>
        <v>Yes</v>
      </c>
    </row>
    <row r="133" spans="1:12" x14ac:dyDescent="0.25">
      <c r="A133" s="16" t="s">
        <v>153</v>
      </c>
      <c r="B133" s="13" t="s">
        <v>287</v>
      </c>
      <c r="C133" s="13" t="s">
        <v>19</v>
      </c>
      <c r="D133" s="14">
        <v>44639</v>
      </c>
      <c r="E133" s="14" t="str">
        <f t="shared" ca="1" si="12"/>
        <v>4 Years, 3 Months</v>
      </c>
      <c r="F133" s="15">
        <v>108395</v>
      </c>
      <c r="G133" s="12">
        <v>78</v>
      </c>
      <c r="H133" s="13" t="s">
        <v>15</v>
      </c>
      <c r="I133" s="13" t="str">
        <f>VLOOKUP(TRIM(C133),'Lookup Department'!$A$1:$B$7,2,FALSE)</f>
        <v>Operations</v>
      </c>
      <c r="J133" s="13" t="str">
        <f t="shared" si="10"/>
        <v>Achieving</v>
      </c>
      <c r="K133" s="17">
        <f t="shared" si="11"/>
        <v>5419.75</v>
      </c>
      <c r="L133" s="13" t="str" cm="1">
        <f t="array" ref="L133">_xlfn.IFS(Table2[[#This Row],[Employment Status]]="Left","Yes",Table2[[#This Row],[Employment Status]]="Resigned","Yes","TRUE","No")</f>
        <v>Yes</v>
      </c>
    </row>
    <row r="134" spans="1:12" x14ac:dyDescent="0.25">
      <c r="A134" s="16" t="s">
        <v>154</v>
      </c>
      <c r="B134" s="13" t="s">
        <v>232</v>
      </c>
      <c r="C134" s="13" t="s">
        <v>13</v>
      </c>
      <c r="D134" s="14">
        <v>43091</v>
      </c>
      <c r="E134" s="14" t="str">
        <f t="shared" ca="1" si="12"/>
        <v>8 Years, 6 Months</v>
      </c>
      <c r="F134" s="15">
        <v>88005</v>
      </c>
      <c r="G134" s="12">
        <v>69</v>
      </c>
      <c r="H134" s="13" t="s">
        <v>24</v>
      </c>
      <c r="I134" s="13" t="str">
        <f>VLOOKUP(TRIM(C134),'Lookup Department'!$A$1:$B$7,2,FALSE)</f>
        <v>Finance</v>
      </c>
      <c r="J134" s="13" t="str">
        <f t="shared" si="10"/>
        <v>Developing</v>
      </c>
      <c r="K134" s="17">
        <f t="shared" si="11"/>
        <v>1760.1000000000001</v>
      </c>
      <c r="L134" s="13" t="str" cm="1">
        <f t="array" ref="L134">_xlfn.IFS(Table2[[#This Row],[Employment Status]]="Left","Yes",Table2[[#This Row],[Employment Status]]="Resigned","Yes","TRUE","No")</f>
        <v>No</v>
      </c>
    </row>
    <row r="135" spans="1:12" x14ac:dyDescent="0.25">
      <c r="A135" s="16" t="s">
        <v>155</v>
      </c>
      <c r="B135" s="13" t="s">
        <v>288</v>
      </c>
      <c r="C135" s="13" t="s">
        <v>30</v>
      </c>
      <c r="D135" s="14">
        <v>44437</v>
      </c>
      <c r="E135" s="14" t="str">
        <f t="shared" ca="1" si="12"/>
        <v>4 Years, 10 Months</v>
      </c>
      <c r="F135" s="15">
        <v>83007</v>
      </c>
      <c r="G135" s="12">
        <v>82</v>
      </c>
      <c r="H135" s="13" t="s">
        <v>24</v>
      </c>
      <c r="I135" s="13" t="str">
        <f>VLOOKUP(TRIM(C135),'Lookup Department'!$A$1:$B$7,2,FALSE)</f>
        <v>Marketing</v>
      </c>
      <c r="J135" s="13" t="str">
        <f t="shared" si="10"/>
        <v>Achieving</v>
      </c>
      <c r="K135" s="17">
        <f t="shared" si="11"/>
        <v>4150.3500000000004</v>
      </c>
      <c r="L135" s="13" t="str" cm="1">
        <f t="array" ref="L135">_xlfn.IFS(Table2[[#This Row],[Employment Status]]="Left","Yes",Table2[[#This Row],[Employment Status]]="Resigned","Yes","TRUE","No")</f>
        <v>No</v>
      </c>
    </row>
    <row r="136" spans="1:12" x14ac:dyDescent="0.25">
      <c r="A136" s="16" t="s">
        <v>156</v>
      </c>
      <c r="B136" s="13" t="s">
        <v>289</v>
      </c>
      <c r="C136" s="13" t="s">
        <v>7</v>
      </c>
      <c r="D136" s="14">
        <v>43360</v>
      </c>
      <c r="E136" s="14" t="str">
        <f t="shared" ca="1" si="12"/>
        <v>7 Years, 9 Months</v>
      </c>
      <c r="F136" s="15">
        <v>61547</v>
      </c>
      <c r="G136" s="12">
        <v>68</v>
      </c>
      <c r="H136" s="13" t="s">
        <v>24</v>
      </c>
      <c r="I136" s="13" t="str">
        <f>VLOOKUP(TRIM(C136),'Lookup Department'!$A$1:$B$7,2,FALSE)</f>
        <v>Information Technology</v>
      </c>
      <c r="J136" s="13" t="str">
        <f t="shared" si="10"/>
        <v>Developing</v>
      </c>
      <c r="K136" s="17">
        <f t="shared" si="11"/>
        <v>1230.94</v>
      </c>
      <c r="L136" s="13" t="str" cm="1">
        <f t="array" ref="L136">_xlfn.IFS(Table2[[#This Row],[Employment Status]]="Left","Yes",Table2[[#This Row],[Employment Status]]="Resigned","Yes","TRUE","No")</f>
        <v>No</v>
      </c>
    </row>
    <row r="137" spans="1:12" x14ac:dyDescent="0.25">
      <c r="A137" s="16" t="s">
        <v>157</v>
      </c>
      <c r="B137" s="13" t="s">
        <v>290</v>
      </c>
      <c r="C137" s="13" t="s">
        <v>23</v>
      </c>
      <c r="D137" s="14">
        <v>44375</v>
      </c>
      <c r="E137" s="14" t="str">
        <f t="shared" ca="1" si="12"/>
        <v>5 Years, 0 Months</v>
      </c>
      <c r="F137" s="15">
        <v>82713.429999999993</v>
      </c>
      <c r="G137" s="12">
        <v>52</v>
      </c>
      <c r="H137" s="13" t="s">
        <v>24</v>
      </c>
      <c r="I137" s="13" t="str">
        <f>VLOOKUP(TRIM(C137),'Lookup Department'!$A$1:$B$7,2,FALSE)</f>
        <v>Sales</v>
      </c>
      <c r="J137" s="13" t="str">
        <f t="shared" si="10"/>
        <v>Developing</v>
      </c>
      <c r="K137" s="17">
        <f t="shared" si="11"/>
        <v>1654.2685999999999</v>
      </c>
      <c r="L137" s="13" t="str" cm="1">
        <f t="array" ref="L137">_xlfn.IFS(Table2[[#This Row],[Employment Status]]="Left","Yes",Table2[[#This Row],[Employment Status]]="Resigned","Yes","TRUE","No")</f>
        <v>No</v>
      </c>
    </row>
    <row r="138" spans="1:12" x14ac:dyDescent="0.25">
      <c r="A138" s="16" t="s">
        <v>158</v>
      </c>
      <c r="B138" s="13" t="s">
        <v>291</v>
      </c>
      <c r="C138" s="13" t="s">
        <v>17</v>
      </c>
      <c r="D138" s="14">
        <v>43011</v>
      </c>
      <c r="E138" s="14" t="str">
        <f t="shared" ca="1" si="12"/>
        <v>8 Years, 9 Months</v>
      </c>
      <c r="F138" s="15">
        <v>50399</v>
      </c>
      <c r="G138" s="12">
        <v>92</v>
      </c>
      <c r="H138" s="13" t="s">
        <v>15</v>
      </c>
      <c r="I138" s="13" t="str">
        <f>VLOOKUP(TRIM(C138),'Lookup Department'!$A$1:$B$7,2,FALSE)</f>
        <v>Operations</v>
      </c>
      <c r="J138" s="13" t="str">
        <f t="shared" si="10"/>
        <v>Exceeding</v>
      </c>
      <c r="K138" s="17">
        <f t="shared" si="11"/>
        <v>4031.92</v>
      </c>
      <c r="L138" s="13" t="str" cm="1">
        <f t="array" ref="L138">_xlfn.IFS(Table2[[#This Row],[Employment Status]]="Left","Yes",Table2[[#This Row],[Employment Status]]="Resigned","Yes","TRUE","No")</f>
        <v>Yes</v>
      </c>
    </row>
    <row r="139" spans="1:12" x14ac:dyDescent="0.25">
      <c r="A139" s="16" t="s">
        <v>159</v>
      </c>
      <c r="B139" s="13" t="s">
        <v>292</v>
      </c>
      <c r="C139" s="13" t="s">
        <v>13</v>
      </c>
      <c r="D139" s="14">
        <v>42299</v>
      </c>
      <c r="E139" s="14" t="str">
        <f t="shared" ca="1" si="12"/>
        <v>10 Years, 8 Months</v>
      </c>
      <c r="F139" s="15">
        <v>82713.429999999993</v>
      </c>
      <c r="G139" s="12">
        <v>62</v>
      </c>
      <c r="H139" s="13" t="s">
        <v>24</v>
      </c>
      <c r="I139" s="13" t="str">
        <f>VLOOKUP(TRIM(C139),'Lookup Department'!$A$1:$B$7,2,FALSE)</f>
        <v>Finance</v>
      </c>
      <c r="J139" s="13" t="str">
        <f t="shared" si="10"/>
        <v>Developing</v>
      </c>
      <c r="K139" s="17">
        <f t="shared" si="11"/>
        <v>1654.2685999999999</v>
      </c>
      <c r="L139" s="13" t="str" cm="1">
        <f t="array" ref="L139">_xlfn.IFS(Table2[[#This Row],[Employment Status]]="Left","Yes",Table2[[#This Row],[Employment Status]]="Resigned","Yes","TRUE","No")</f>
        <v>No</v>
      </c>
    </row>
    <row r="140" spans="1:12" x14ac:dyDescent="0.25">
      <c r="A140" s="16" t="s">
        <v>160</v>
      </c>
      <c r="B140" s="13" t="s">
        <v>293</v>
      </c>
      <c r="C140" s="13" t="s">
        <v>17</v>
      </c>
      <c r="D140" s="14">
        <v>43257</v>
      </c>
      <c r="E140" s="14" t="str">
        <f t="shared" ca="1" si="12"/>
        <v>8 Years, 1 Months</v>
      </c>
      <c r="F140" s="15">
        <v>52720</v>
      </c>
      <c r="G140" s="12">
        <v>68</v>
      </c>
      <c r="H140" s="13" t="s">
        <v>24</v>
      </c>
      <c r="I140" s="13" t="str">
        <f>VLOOKUP(TRIM(C140),'Lookup Department'!$A$1:$B$7,2,FALSE)</f>
        <v>Operations</v>
      </c>
      <c r="J140" s="13" t="str">
        <f t="shared" si="10"/>
        <v>Developing</v>
      </c>
      <c r="K140" s="17">
        <f t="shared" si="11"/>
        <v>1054.4000000000001</v>
      </c>
      <c r="L140" s="13" t="str" cm="1">
        <f t="array" ref="L140">_xlfn.IFS(Table2[[#This Row],[Employment Status]]="Left","Yes",Table2[[#This Row],[Employment Status]]="Resigned","Yes","TRUE","No")</f>
        <v>No</v>
      </c>
    </row>
    <row r="141" spans="1:12" x14ac:dyDescent="0.25">
      <c r="A141" s="16" t="s">
        <v>161</v>
      </c>
      <c r="B141" s="13" t="s">
        <v>294</v>
      </c>
      <c r="C141" s="13" t="s">
        <v>17</v>
      </c>
      <c r="D141" s="14">
        <v>42932</v>
      </c>
      <c r="E141" s="14" t="str">
        <f t="shared" ca="1" si="12"/>
        <v>8 Years, 11 Months</v>
      </c>
      <c r="F141" s="15">
        <v>65065</v>
      </c>
      <c r="G141" s="12">
        <v>98</v>
      </c>
      <c r="H141" s="13" t="s">
        <v>24</v>
      </c>
      <c r="I141" s="13" t="str">
        <f>VLOOKUP(TRIM(C141),'Lookup Department'!$A$1:$B$7,2,FALSE)</f>
        <v>Operations</v>
      </c>
      <c r="J141" s="13" t="str">
        <f t="shared" si="10"/>
        <v>Outstanding</v>
      </c>
      <c r="K141" s="17">
        <f t="shared" si="11"/>
        <v>7807.7999999999993</v>
      </c>
      <c r="L141" s="13" t="str" cm="1">
        <f t="array" ref="L141">_xlfn.IFS(Table2[[#This Row],[Employment Status]]="Left","Yes",Table2[[#This Row],[Employment Status]]="Resigned","Yes","TRUE","No")</f>
        <v>No</v>
      </c>
    </row>
    <row r="142" spans="1:12" x14ac:dyDescent="0.25">
      <c r="A142" s="16" t="s">
        <v>162</v>
      </c>
      <c r="B142" s="13" t="s">
        <v>287</v>
      </c>
      <c r="C142" s="13" t="s">
        <v>23</v>
      </c>
      <c r="D142" s="14">
        <v>42175</v>
      </c>
      <c r="E142" s="14" t="str">
        <f t="shared" ca="1" si="12"/>
        <v>11 Years, 0 Months</v>
      </c>
      <c r="F142" s="15">
        <v>82713.429999999993</v>
      </c>
      <c r="G142" s="12">
        <v>94</v>
      </c>
      <c r="H142" s="13" t="s">
        <v>62</v>
      </c>
      <c r="I142" s="13" t="str">
        <f>VLOOKUP(TRIM(C142),'Lookup Department'!$A$1:$B$7,2,FALSE)</f>
        <v>Sales</v>
      </c>
      <c r="J142" s="13" t="str">
        <f t="shared" si="10"/>
        <v>Exceeding</v>
      </c>
      <c r="K142" s="17">
        <f t="shared" si="11"/>
        <v>6617.0743999999995</v>
      </c>
      <c r="L142" s="13" t="str" cm="1">
        <f t="array" ref="L142">_xlfn.IFS(Table2[[#This Row],[Employment Status]]="Left","Yes",Table2[[#This Row],[Employment Status]]="Resigned","Yes","TRUE","No")</f>
        <v>Yes</v>
      </c>
    </row>
    <row r="143" spans="1:12" x14ac:dyDescent="0.25">
      <c r="A143" s="16" t="s">
        <v>163</v>
      </c>
      <c r="B143" s="13" t="s">
        <v>287</v>
      </c>
      <c r="C143" s="13" t="s">
        <v>19</v>
      </c>
      <c r="D143" s="14">
        <v>43609</v>
      </c>
      <c r="E143" s="14" t="str">
        <f t="shared" ca="1" si="12"/>
        <v>7 Years, 1 Months</v>
      </c>
      <c r="F143" s="15">
        <v>108119</v>
      </c>
      <c r="G143" s="12">
        <v>57</v>
      </c>
      <c r="H143" s="13" t="s">
        <v>62</v>
      </c>
      <c r="I143" s="13" t="str">
        <f>VLOOKUP(TRIM(C143),'Lookup Department'!$A$1:$B$7,2,FALSE)</f>
        <v>Operations</v>
      </c>
      <c r="J143" s="13" t="str">
        <f t="shared" si="10"/>
        <v>Developing</v>
      </c>
      <c r="K143" s="17">
        <f t="shared" si="11"/>
        <v>2162.38</v>
      </c>
      <c r="L143" s="13" t="str" cm="1">
        <f t="array" ref="L143">_xlfn.IFS(Table2[[#This Row],[Employment Status]]="Left","Yes",Table2[[#This Row],[Employment Status]]="Resigned","Yes","TRUE","No")</f>
        <v>Yes</v>
      </c>
    </row>
    <row r="144" spans="1:12" x14ac:dyDescent="0.25">
      <c r="A144" s="16" t="s">
        <v>164</v>
      </c>
      <c r="B144" s="13" t="s">
        <v>234</v>
      </c>
      <c r="C144" s="13" t="s">
        <v>7</v>
      </c>
      <c r="D144" s="14">
        <v>43887</v>
      </c>
      <c r="E144" s="14" t="str">
        <f t="shared" ca="1" si="12"/>
        <v>6 Years, 4 Months</v>
      </c>
      <c r="F144" s="15">
        <v>82713.429999999993</v>
      </c>
      <c r="G144" s="12">
        <v>96</v>
      </c>
      <c r="H144" s="13" t="s">
        <v>24</v>
      </c>
      <c r="I144" s="13" t="str">
        <f>VLOOKUP(TRIM(C144),'Lookup Department'!$A$1:$B$7,2,FALSE)</f>
        <v>Information Technology</v>
      </c>
      <c r="J144" s="13" t="str">
        <f t="shared" si="10"/>
        <v>Outstanding</v>
      </c>
      <c r="K144" s="17">
        <f t="shared" si="11"/>
        <v>9925.6115999999984</v>
      </c>
      <c r="L144" s="13" t="str" cm="1">
        <f t="array" ref="L144">_xlfn.IFS(Table2[[#This Row],[Employment Status]]="Left","Yes",Table2[[#This Row],[Employment Status]]="Resigned","Yes","TRUE","No")</f>
        <v>No</v>
      </c>
    </row>
    <row r="145" spans="1:12" x14ac:dyDescent="0.25">
      <c r="A145" s="16" t="s">
        <v>165</v>
      </c>
      <c r="B145" s="13" t="s">
        <v>237</v>
      </c>
      <c r="C145" s="13" t="s">
        <v>52</v>
      </c>
      <c r="D145" s="14">
        <v>44991</v>
      </c>
      <c r="E145" s="14" t="str">
        <f t="shared" ca="1" si="12"/>
        <v>3 Years, 4 Months</v>
      </c>
      <c r="F145" s="15">
        <v>106896</v>
      </c>
      <c r="G145" s="12">
        <v>52</v>
      </c>
      <c r="H145" s="13" t="s">
        <v>15</v>
      </c>
      <c r="I145" s="13" t="str">
        <f>VLOOKUP(TRIM(C145),'Lookup Department'!$A$1:$B$7,2,FALSE)</f>
        <v>Human Resources</v>
      </c>
      <c r="J145" s="13" t="str">
        <f t="shared" si="10"/>
        <v>Developing</v>
      </c>
      <c r="K145" s="17">
        <f t="shared" si="11"/>
        <v>2137.92</v>
      </c>
      <c r="L145" s="13" t="str" cm="1">
        <f t="array" ref="L145">_xlfn.IFS(Table2[[#This Row],[Employment Status]]="Left","Yes",Table2[[#This Row],[Employment Status]]="Resigned","Yes","TRUE","No")</f>
        <v>Yes</v>
      </c>
    </row>
    <row r="146" spans="1:12" x14ac:dyDescent="0.25">
      <c r="A146" s="16" t="s">
        <v>166</v>
      </c>
      <c r="B146" s="13" t="s">
        <v>295</v>
      </c>
      <c r="C146" s="13" t="s">
        <v>11</v>
      </c>
      <c r="D146" s="14">
        <v>43477</v>
      </c>
      <c r="E146" s="14" t="str">
        <f t="shared" ca="1" si="12"/>
        <v>7 Years, 5 Months</v>
      </c>
      <c r="F146" s="15">
        <v>112887</v>
      </c>
      <c r="G146" s="12">
        <v>59</v>
      </c>
      <c r="H146" s="13" t="s">
        <v>24</v>
      </c>
      <c r="I146" s="13" t="str">
        <f>VLOOKUP(TRIM(C146),'Lookup Department'!$A$1:$B$7,2,FALSE)</f>
        <v>Information Technology</v>
      </c>
      <c r="J146" s="13" t="str">
        <f t="shared" si="10"/>
        <v>Developing</v>
      </c>
      <c r="K146" s="17">
        <f t="shared" si="11"/>
        <v>2257.7400000000002</v>
      </c>
      <c r="L146" s="13" t="str" cm="1">
        <f t="array" ref="L146">_xlfn.IFS(Table2[[#This Row],[Employment Status]]="Left","Yes",Table2[[#This Row],[Employment Status]]="Resigned","Yes","TRUE","No")</f>
        <v>No</v>
      </c>
    </row>
    <row r="147" spans="1:12" x14ac:dyDescent="0.25">
      <c r="A147" s="16" t="s">
        <v>167</v>
      </c>
      <c r="B147" s="13" t="s">
        <v>296</v>
      </c>
      <c r="C147" s="13" t="s">
        <v>13</v>
      </c>
      <c r="D147" s="14">
        <v>45037</v>
      </c>
      <c r="E147" s="14" t="str">
        <f t="shared" ca="1" si="12"/>
        <v>3 Years, 2 Months</v>
      </c>
      <c r="F147" s="15">
        <v>85457</v>
      </c>
      <c r="G147" s="12">
        <v>79</v>
      </c>
      <c r="H147" s="13" t="s">
        <v>24</v>
      </c>
      <c r="I147" s="13" t="str">
        <f>VLOOKUP(TRIM(C147),'Lookup Department'!$A$1:$B$7,2,FALSE)</f>
        <v>Finance</v>
      </c>
      <c r="J147" s="13" t="str">
        <f t="shared" si="10"/>
        <v>Achieving</v>
      </c>
      <c r="K147" s="17">
        <f t="shared" si="11"/>
        <v>4272.8500000000004</v>
      </c>
      <c r="L147" s="13" t="str" cm="1">
        <f t="array" ref="L147">_xlfn.IFS(Table2[[#This Row],[Employment Status]]="Left","Yes",Table2[[#This Row],[Employment Status]]="Resigned","Yes","TRUE","No")</f>
        <v>No</v>
      </c>
    </row>
    <row r="148" spans="1:12" x14ac:dyDescent="0.25">
      <c r="A148" s="16" t="s">
        <v>168</v>
      </c>
      <c r="B148" s="13" t="s">
        <v>297</v>
      </c>
      <c r="C148" s="13" t="s">
        <v>23</v>
      </c>
      <c r="D148" s="14">
        <v>42519</v>
      </c>
      <c r="E148" s="14" t="str">
        <f t="shared" ca="1" si="12"/>
        <v>10 Years, 1 Months</v>
      </c>
      <c r="F148" s="15">
        <v>62798</v>
      </c>
      <c r="G148" s="12">
        <v>30</v>
      </c>
      <c r="H148" s="13" t="s">
        <v>24</v>
      </c>
      <c r="I148" s="13" t="str">
        <f>VLOOKUP(TRIM(C148),'Lookup Department'!$A$1:$B$7,2,FALSE)</f>
        <v>Sales</v>
      </c>
      <c r="J148" s="13" t="str">
        <f t="shared" si="10"/>
        <v>Needs Improvement</v>
      </c>
      <c r="K148" s="17">
        <f t="shared" si="11"/>
        <v>0</v>
      </c>
      <c r="L148" s="13" t="str" cm="1">
        <f t="array" ref="L148">_xlfn.IFS(Table2[[#This Row],[Employment Status]]="Left","Yes",Table2[[#This Row],[Employment Status]]="Resigned","Yes","TRUE","No")</f>
        <v>No</v>
      </c>
    </row>
    <row r="149" spans="1:12" x14ac:dyDescent="0.25">
      <c r="A149" s="16" t="s">
        <v>169</v>
      </c>
      <c r="B149" s="13" t="s">
        <v>298</v>
      </c>
      <c r="C149" s="13" t="s">
        <v>17</v>
      </c>
      <c r="D149" s="14">
        <v>44711</v>
      </c>
      <c r="E149" s="14" t="str">
        <f t="shared" ca="1" si="12"/>
        <v>4 Years, 1 Months</v>
      </c>
      <c r="F149" s="15">
        <v>47794</v>
      </c>
      <c r="G149" s="12">
        <v>73</v>
      </c>
      <c r="H149" s="13" t="s">
        <v>15</v>
      </c>
      <c r="I149" s="13" t="str">
        <f>VLOOKUP(TRIM(C149),'Lookup Department'!$A$1:$B$7,2,FALSE)</f>
        <v>Operations</v>
      </c>
      <c r="J149" s="13" t="str">
        <f t="shared" si="10"/>
        <v>Achieving</v>
      </c>
      <c r="K149" s="17">
        <f t="shared" si="11"/>
        <v>2389.7000000000003</v>
      </c>
      <c r="L149" s="13" t="str" cm="1">
        <f t="array" ref="L149">_xlfn.IFS(Table2[[#This Row],[Employment Status]]="Left","Yes",Table2[[#This Row],[Employment Status]]="Resigned","Yes","TRUE","No")</f>
        <v>Yes</v>
      </c>
    </row>
    <row r="150" spans="1:12" x14ac:dyDescent="0.25">
      <c r="A150" s="16" t="s">
        <v>170</v>
      </c>
      <c r="B150" s="13" t="s">
        <v>279</v>
      </c>
      <c r="C150" s="13" t="s">
        <v>9</v>
      </c>
      <c r="D150" s="14">
        <v>42677</v>
      </c>
      <c r="E150" s="14" t="str">
        <f t="shared" ca="1" si="12"/>
        <v>9 Years, 8 Months</v>
      </c>
      <c r="F150" s="15">
        <v>93094</v>
      </c>
      <c r="G150" s="12">
        <v>74</v>
      </c>
      <c r="H150" s="13" t="s">
        <v>24</v>
      </c>
      <c r="I150" s="13" t="str">
        <f>VLOOKUP(TRIM(C150),'Lookup Department'!$A$1:$B$7,2,FALSE)</f>
        <v>Marketing</v>
      </c>
      <c r="J150" s="13" t="str">
        <f t="shared" si="10"/>
        <v>Achieving</v>
      </c>
      <c r="K150" s="17">
        <f t="shared" si="11"/>
        <v>4654.7</v>
      </c>
      <c r="L150" s="13" t="str" cm="1">
        <f t="array" ref="L150">_xlfn.IFS(Table2[[#This Row],[Employment Status]]="Left","Yes",Table2[[#This Row],[Employment Status]]="Resigned","Yes","TRUE","No")</f>
        <v>No</v>
      </c>
    </row>
    <row r="151" spans="1:12" x14ac:dyDescent="0.25">
      <c r="A151" s="23" t="s">
        <v>171</v>
      </c>
      <c r="B151" s="24" t="s">
        <v>276</v>
      </c>
      <c r="C151" s="24" t="s">
        <v>7</v>
      </c>
      <c r="D151" s="25">
        <v>44848</v>
      </c>
      <c r="E151" s="25" t="str">
        <f ca="1">DATEDIF(D151,TODAY(),"Y")&amp;" Years, "&amp;DATEDIF(D151,TODAY(),"YM")&amp;" Months"</f>
        <v>3 Years, 8 Months</v>
      </c>
      <c r="F151" s="26">
        <v>118634</v>
      </c>
      <c r="G151" s="27">
        <v>91</v>
      </c>
      <c r="H151" s="24" t="s">
        <v>24</v>
      </c>
      <c r="I151" s="24" t="str">
        <f>VLOOKUP(TRIM(C151),'Lookup Department'!$A$1:$B$7,2,FALSE)</f>
        <v>Information Technology</v>
      </c>
      <c r="J151" s="24" t="str">
        <f t="shared" si="10"/>
        <v>Exceeding</v>
      </c>
      <c r="K151" s="28">
        <f t="shared" si="11"/>
        <v>9490.7199999999993</v>
      </c>
      <c r="L151" s="24" t="str" cm="1">
        <f t="array" ref="L151">_xlfn.IFS(Table2[[#This Row],[Employment Status]]="Left","Yes",Table2[[#This Row],[Employment Status]]="Resigned","Yes","TRUE","No")</f>
        <v>No</v>
      </c>
    </row>
    <row r="152" spans="1:12" x14ac:dyDescent="0.25">
      <c r="B152"/>
    </row>
    <row r="153" spans="1:12" x14ac:dyDescent="0.25">
      <c r="B153"/>
    </row>
    <row r="154" spans="1:12" x14ac:dyDescent="0.25">
      <c r="B154"/>
    </row>
    <row r="155" spans="1:12" x14ac:dyDescent="0.25">
      <c r="B155"/>
    </row>
    <row r="156" spans="1:12" x14ac:dyDescent="0.25">
      <c r="B156"/>
    </row>
    <row r="157" spans="1:12" x14ac:dyDescent="0.25">
      <c r="B157"/>
    </row>
    <row r="158" spans="1:12" x14ac:dyDescent="0.25">
      <c r="B158"/>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Lookup Department</vt:lpstr>
      <vt:lpstr>Lookup_Performance</vt:lpstr>
      <vt:lpstr>PIVOTS TABLE</vt:lpstr>
      <vt:lpstr>HR DASHBAORD</vt:lpstr>
      <vt:lpstr>Raw_Employee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abdulbasit yusuf</cp:lastModifiedBy>
  <dcterms:created xsi:type="dcterms:W3CDTF">2026-06-04T20:20:01Z</dcterms:created>
  <dcterms:modified xsi:type="dcterms:W3CDTF">2026-07-08T14:29:05Z</dcterms:modified>
</cp:coreProperties>
</file>